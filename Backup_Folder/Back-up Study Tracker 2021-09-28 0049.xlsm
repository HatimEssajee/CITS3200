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F27139B3-8A6E-4D56-9598-1511DD49A45B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  <workbookView visibility="hidden" xWindow="16410" yWindow="2235" windowWidth="27000" windowHeight="14010" activeTab="2" xr2:uid="{A189992D-43F9-4DCE-8468-8332BC398536}"/>
    <workbookView minimized="1" xWindow="7530" yWindow="1515" windowWidth="21600" windowHeight="11205" firstSheet="1" activeTab="1" xr2:uid="{F67190D1-C2B3-42FE-B82D-8B89CB79315B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2" i="1" l="1"/>
  <c r="FB12" i="1"/>
  <c r="FA12" i="1"/>
  <c r="EZ12" i="1"/>
  <c r="FC12" i="1" s="1"/>
  <c r="FD13" i="1"/>
  <c r="FB13" i="1"/>
  <c r="FA13" i="1"/>
  <c r="EZ13" i="1"/>
  <c r="FD7" i="1"/>
  <c r="FB7" i="1"/>
  <c r="FA7" i="1"/>
  <c r="EZ7" i="1"/>
  <c r="FD15" i="1"/>
  <c r="FB15" i="1"/>
  <c r="FA15" i="1"/>
  <c r="EZ15" i="1"/>
  <c r="FD11" i="1"/>
  <c r="FB11" i="1"/>
  <c r="FA11" i="1"/>
  <c r="EZ11" i="1"/>
  <c r="FD10" i="1"/>
  <c r="FB10" i="1"/>
  <c r="FA10" i="1"/>
  <c r="EZ10" i="1"/>
  <c r="FD9" i="1"/>
  <c r="FB9" i="1"/>
  <c r="FA9" i="1"/>
  <c r="EZ9" i="1"/>
  <c r="FC9" i="1" s="1"/>
  <c r="FD6" i="1"/>
  <c r="FB6" i="1"/>
  <c r="FA6" i="1"/>
  <c r="EZ6" i="1"/>
  <c r="FB8" i="1"/>
  <c r="FB14" i="1"/>
  <c r="FD8" i="1"/>
  <c r="FD14" i="1"/>
  <c r="FA8" i="1"/>
  <c r="FA14" i="1"/>
  <c r="EZ8" i="1"/>
  <c r="EZ14" i="1"/>
  <c r="FC13" i="1" l="1"/>
  <c r="FC11" i="1"/>
  <c r="FC6" i="1"/>
  <c r="FC15" i="1"/>
  <c r="FC10" i="1"/>
  <c r="FC7" i="1"/>
  <c r="FC14" i="1"/>
  <c r="FC8" i="1"/>
</calcChain>
</file>

<file path=xl/sharedStrings.xml><?xml version="1.0" encoding="utf-8"?>
<sst xmlns="http://schemas.openxmlformats.org/spreadsheetml/2006/main" count="392" uniqueCount="283">
  <si>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</si>
  <si>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</si>
  <si>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</si>
  <si>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</si>
  <si>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</si>
  <si>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</si>
  <si>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</si>
  <si>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</si>
  <si>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</si>
  <si>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</si>
  <si>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</si>
  <si>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</si>
  <si>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</si>
  <si>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</si>
  <si>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</si>
  <si>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</si>
  <si>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</si>
  <si>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</si>
  <si>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</si>
  <si>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</si>
  <si>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</si>
  <si>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</si>
  <si>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</si>
  <si>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</si>
  <si>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</si>
  <si>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</si>
  <si>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</si>
  <si>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</si>
  <si>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</si>
  <si>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</si>
  <si>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</si>
  <si>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</si>
  <si>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</si>
  <si>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</si>
  <si>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</si>
  <si>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</si>
  <si>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</si>
  <si>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</si>
  <si>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</si>
  <si>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</si>
  <si>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</si>
  <si>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</si>
  <si>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</si>
  <si>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</si>
  <si>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</si>
  <si>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</si>
  <si>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</si>
  <si>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</si>
  <si>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</si>
  <si>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</si>
  <si>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</si>
  <si>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</si>
  <si>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</si>
  <si>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</si>
  <si>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</si>
  <si>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</si>
  <si>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</si>
  <si>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</si>
  <si>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</si>
  <si>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</si>
  <si>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</si>
  <si>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</si>
  <si>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</si>
  <si>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</si>
  <si>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</si>
  <si>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</si>
  <si>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</si>
  <si>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</si>
  <si>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</si>
  <si>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</si>
  <si>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</si>
  <si>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</si>
  <si>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</si>
  <si>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</si>
  <si>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</si>
  <si>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</si>
  <si>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</si>
  <si>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</si>
  <si>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</si>
  <si>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</si>
  <si>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</si>
  <si>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</si>
  <si>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</si>
  <si>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</si>
  <si>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</si>
  <si>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</si>
  <si>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</si>
  <si>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</si>
  <si>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</si>
  <si>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</si>
  <si>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</si>
  <si>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</si>
  <si>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</si>
  <si>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</si>
  <si>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</si>
  <si>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</si>
  <si>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</si>
  <si>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</si>
  <si>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</si>
  <si>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</si>
  <si>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</si>
  <si>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</si>
  <si>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</si>
  <si>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</si>
  <si>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</si>
  <si>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</si>
  <si>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</si>
  <si>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</si>
  <si>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</si>
  <si>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</si>
  <si>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</si>
  <si>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</si>
  <si>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</si>
  <si>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</si>
  <si>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</si>
  <si>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</si>
  <si>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</si>
  <si>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</si>
  <si>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</si>
  <si>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</si>
  <si>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</si>
  <si>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</si>
  <si>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</si>
  <si>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</si>
  <si>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</si>
  <si>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</si>
  <si>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</si>
  <si>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</si>
  <si>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</si>
  <si>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</si>
  <si>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</si>
  <si>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</si>
  <si>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</si>
  <si>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</si>
  <si>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</si>
  <si>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</si>
  <si>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</si>
  <si>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</si>
  <si>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</si>
  <si>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</si>
  <si>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</si>
  <si>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</si>
  <si>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</si>
  <si>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</si>
  <si>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</si>
  <si>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</si>
  <si>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</si>
  <si>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</si>
  <si>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</si>
  <si>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</si>
  <si>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</si>
  <si>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</si>
  <si>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</si>
  <si>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</si>
  <si>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</si>
  <si>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</si>
  <si>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</si>
  <si>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</si>
  <si>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</si>
  <si>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</si>
  <si>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</si>
  <si>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</si>
  <si>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</si>
  <si>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</si>
  <si>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</si>
  <si>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</si>
  <si>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</si>
  <si>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</si>
  <si>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</si>
  <si>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</si>
  <si>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</si>
  <si>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</si>
  <si>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</si>
  <si>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</si>
  <si>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</si>
  <si>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</si>
  <si>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</si>
  <si>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</si>
  <si>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</si>
  <si>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</si>
  <si>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</si>
  <si>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</si>
  <si>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</si>
  <si>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</si>
  <si>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</si>
  <si>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</si>
  <si>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</si>
  <si>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</si>
  <si>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</si>
  <si>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</si>
  <si>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</si>
  <si>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</si>
  <si>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</si>
  <si>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</si>
  <si>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</si>
  <si>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</si>
  <si>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</si>
  <si>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</si>
  <si>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</si>
  <si>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</si>
  <si>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</si>
  <si>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</si>
  <si>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</si>
  <si>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</si>
  <si>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</si>
  <si>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</si>
  <si>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</si>
  <si>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</si>
  <si>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</si>
  <si>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</si>
  <si>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</si>
  <si>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</si>
  <si>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</si>
  <si>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</si>
  <si>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</si>
  <si>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</si>
  <si>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</si>
  <si>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</si>
  <si>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</si>
  <si>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</si>
  <si>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</si>
  <si>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</si>
  <si>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</si>
  <si>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</si>
  <si>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</si>
  <si>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</si>
  <si>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</si>
  <si>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</si>
  <si>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</si>
  <si>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</si>
  <si>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</si>
  <si>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</si>
  <si>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</si>
  <si>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</si>
  <si>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</si>
  <si>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</si>
  <si>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</si>
  <si>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</si>
  <si>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</si>
  <si>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</si>
  <si>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</si>
  <si>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</si>
  <si>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</si>
  <si>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</si>
  <si>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</si>
  <si>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</si>
  <si>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</si>
  <si>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</si>
  <si>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</si>
  <si>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</si>
  <si>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</si>
  <si>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</si>
  <si>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</si>
  <si>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</si>
  <si>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</si>
  <si>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</si>
  <si>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Commenced</t>
  </si>
  <si>
    <t>Plan. Meeting = 05-Apr-20</t>
  </si>
  <si>
    <t>CAHS Complete
NMA Complete
WNHS Complete</t>
  </si>
  <si>
    <t>Overall Governance Approval</t>
  </si>
  <si>
    <t>Overall Budget Approval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</si>
  <si>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</si>
  <si>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</si>
  <si>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</si>
  <si>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</si>
  <si>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</si>
  <si>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Submitted = 
Date Responded = 
Date Approved = 01-Aug-20</t>
  </si>
  <si>
    <t>Date Finalised = 01-Aug-20
Date Submitted Finance = 
Date Approved = 01-Sep-20</t>
  </si>
  <si>
    <t>Date Approved = 05-Sep-20</t>
  </si>
  <si>
    <t>Date Quote Recv. = 01-Aug-20
Date PO Finalised = 30-Sep-20</t>
  </si>
  <si>
    <t>Date Submitted R,G&amp;C = 01-May-20
Date UWA Review = 03-May-20
Date Finance Review = A
Date COO/CFO Sign-off = 06-May-20
Date VTG Sign-off = 06-May-19
Date Subm. Company = 07-May-20
Date Finalised = 
Reminder:
A = 04/05/2020</t>
  </si>
  <si>
    <t>Date of SIV = 01-Feb-30</t>
  </si>
  <si>
    <t>Budget - TKI Complete</t>
  </si>
  <si>
    <t>Overall Ethics</t>
  </si>
  <si>
    <t>Overall Governance</t>
  </si>
  <si>
    <t>Overall Study</t>
  </si>
  <si>
    <t>Overall Budget</t>
  </si>
  <si>
    <t>PCH Complete</t>
  </si>
  <si>
    <t>Completed activity</t>
  </si>
  <si>
    <t>Incomplete activity</t>
  </si>
  <si>
    <t>Date Submitted = 01-Jun-20
Date Responded = 01-Sep-21
Date Resubmitted = 01-Feb-21
Date Approved = 30-Jun-20</t>
  </si>
  <si>
    <t>Date Received = 01-Nov-20
Date Sent Contracts = 01-Nov-20
Date Completed = 01-Jan-21</t>
  </si>
  <si>
    <t>Data retrieved 27-Sep-2021 11:56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</si>
</sst>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195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194" dataDxfId="193">
  <tableColumns count="157">
    <tableColumn id="2" xr3:uid="{E7B8E3E7-876D-4E6F-8DB6-EF6D63439B27}" name="Date Entry Created" dataDxfId="192"/>
    <tableColumn id="3" xr3:uid="{3B5F919B-773E-47C5-BF9F-89E119924443}" name="User who Created Entry" dataDxfId="191"/>
    <tableColumn id="4" xr3:uid="{52C1C417-C52A-493E-89C7-EC47FA6A00DC}" name="Date Entry Deleted" dataDxfId="190"/>
    <tableColumn id="5" xr3:uid="{39C233C4-ADDB-4C9D-B737-5A0D8E1492BE}" name="User who Deleted Entry" dataDxfId="189"/>
    <tableColumn id="6" xr3:uid="{53729740-3F8D-4BAC-8FEC-59BDF6B2F443}" name="Date Entry Last Accessed" dataDxfId="188"/>
    <tableColumn id="7" xr3:uid="{DA0D4432-1F96-408E-9E20-0A93307325A9}" name="User who Last Accessed Entry" dataDxfId="187"/>
    <tableColumn id="8" xr3:uid="{6F0FF61C-C081-4935-8428-D4A47A4BBCB1}" name="Study Status" dataDxfId="46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40"/>
    <tableColumn id="117" xr3:uid="{9EEB8B23-A4CB-4351-BA34-28B875CA5BC9}" name="CDA Complete" dataDxfId="41"/>
    <tableColumn id="118" xr3:uid="{EEAF9685-FF58-4299-8AC9-70EAA41D7867}" name="FS Complete" dataDxfId="44"/>
    <tableColumn id="119" xr3:uid="{5A71745D-F91F-430E-85CB-6A3ADD0FB772}" name="Site Selection Complete" dataDxfId="45"/>
    <tableColumn id="120" xr3:uid="{51A43A1E-C977-4D5A-AB3B-B853BC3664B2}" name="Recruitment Complete" dataDxfId="43"/>
    <tableColumn id="125" xr3:uid="{5335C76C-7C49-4E93-8894-36BD0B1E9804}" name="Ethics - CAHS Complete" dataDxfId="42"/>
    <tableColumn id="126" xr3:uid="{6151F69C-D5F9-4128-A8E3-E444A31C4646}" name="Ethics - NMA Complete" dataDxfId="65"/>
    <tableColumn id="127" xr3:uid="{9815D2CB-7014-4939-A39D-D99E35ADF880}" name="Ethics - WNHS Complete" dataDxfId="64"/>
    <tableColumn id="128" xr3:uid="{C5816B87-1D9E-443D-B71D-EF2D56B064FF}" name="Ethics - SJOG Complete" dataDxfId="63"/>
    <tableColumn id="129" xr3:uid="{53DFFA91-EBD7-414F-B499-00141C01A736}" name="Ethics - Others Complete" dataDxfId="62"/>
    <tableColumn id="130" xr3:uid="{6DEF5359-846A-472E-944D-281B57926E62}" name="Gov - PCH Complete" dataDxfId="61"/>
    <tableColumn id="121" xr3:uid="{5BA4DB4D-271A-4BB3-94C9-A78D01150788}" name="Gov - TKI Complete" dataDxfId="60"/>
    <tableColumn id="131" xr3:uid="{C9A3CA08-C8A7-4291-92C9-705C74D485AD}" name="Gov - KEMH Complete" dataDxfId="59"/>
    <tableColumn id="132" xr3:uid="{873FD3D8-F030-49F1-A92C-6E32C445C899}" name="Gov - SJOG Subiaco Complete" dataDxfId="58"/>
    <tableColumn id="133" xr3:uid="{B8FF200A-00A6-4130-B768-491439CBFBE7}" name="Gov - SJOG Mt Lawley Complete" dataDxfId="57"/>
    <tableColumn id="134" xr3:uid="{13941F44-D716-4592-BC82-B255BE12E60C}" name="Gov - SJOG Murdoch Complete" dataDxfId="56"/>
    <tableColumn id="135" xr3:uid="{65C1857A-EC53-4A30-8B4D-8610A2522D10}" name="Gov - Others Complete" dataDxfId="55"/>
    <tableColumn id="136" xr3:uid="{E474FC60-EFC4-474D-9C31-CEF1A05FD126}" name="Budget - VTG Complete" dataDxfId="54"/>
    <tableColumn id="137" xr3:uid="{A1CA2D0C-A904-4071-916A-3EA32C06434B}" name="Budget - TKI Complete" dataDxfId="53"/>
    <tableColumn id="138" xr3:uid="{9906220F-039C-40DA-AA46-ECC109B914AD}" name="Budget - Pharmacy Complete" dataDxfId="52"/>
    <tableColumn id="139" xr3:uid="{A08FFA89-66DB-4DD3-BDF6-36DB93440443}" name="Indemnity Complete" dataDxfId="51"/>
    <tableColumn id="140" xr3:uid="{B66F3B52-4D1F-4A39-87B7-4E9740B05ACD}" name="CTRA Complete" dataDxfId="50"/>
    <tableColumn id="141" xr3:uid="{0F417A9F-84AB-492F-878B-EE38BA61D4C8}" name="Fin Disc Complete" dataDxfId="49"/>
    <tableColumn id="142" xr3:uid="{86AF2DD4-CDD5-49D8-99CF-C0B75D633343}" name="SIV Complete" dataDxfId="48"/>
    <tableColumn id="53" xr3:uid="{8B387D3A-A5E5-4E45-86F9-DE7899DB64F9}" name="Overall Ethics" dataDxfId="39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38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5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47" dataDxfId="34">
  <autoFilter ref="A8:AH17" xr:uid="{F456AC9D-7704-49A5-9205-9A7479E6BB27}"/>
  <tableColumns count="34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3"/>
    <tableColumn id="3" xr3:uid="{C89F95A8-564E-4403-ADDA-D618383A4E30}" name="Date Last Updated" dataDxfId="32"/>
    <tableColumn id="5" xr3:uid="{DBB29CFB-ACDE-4E61-9041-3A6725ECBB27}" name="Protocol Number" dataDxfId="31"/>
    <tableColumn id="6" xr3:uid="{797AA5C8-8301-4F2C-B556-C53458E6016A}" name="Sponsor" dataDxfId="30"/>
    <tableColumn id="7" xr3:uid="{748046CD-22D1-4C98-8DE3-13B23900F208}" name="CRO" dataDxfId="29"/>
    <tableColumn id="8" xr3:uid="{38F62305-511B-4EAD-9BDD-0022F8DC6DAA}" name="Age Range / Reminder" dataDxfId="28"/>
    <tableColumn id="9" xr3:uid="{698728C0-A3C6-4D45-80A4-E160B8579B34}" name="CDA" dataDxfId="27"/>
    <tableColumn id="10" xr3:uid="{D7B7B8B1-BF7A-4A91-ADD1-2CB3C730B1C0}" name="Feasibility" dataDxfId="26"/>
    <tableColumn id="11" xr3:uid="{D85A0B2B-DDF0-4AC3-A45A-14BE5D41416C}" name="Site Selection" dataDxfId="25"/>
    <tableColumn id="12" xr3:uid="{A585822F-A959-43D7-A424-A352E75F0954}" name="Recruitment Plan" dataDxfId="24"/>
    <tableColumn id="13" xr3:uid="{A50841ED-F2DD-44DB-930B-FD81AB2D7F3A}" name="Overall Ethics Approval" dataDxfId="23"/>
    <tableColumn id="14" xr3:uid="{3672012C-48E1-419C-B55B-23BB64AE6630}" name="CAHS Ethics Approval" dataDxfId="22"/>
    <tableColumn id="15" xr3:uid="{70445A27-BE6C-46C3-840C-A0065A95B092}" name="NMA Ethics Approval" dataDxfId="21"/>
    <tableColumn id="16" xr3:uid="{7D837278-B6BA-4B88-9FC0-A216926910A6}" name="WNHS Ethics Approval" dataDxfId="20"/>
    <tableColumn id="17" xr3:uid="{BCF683F3-0404-4D41-B20B-A0B5568F1A71}" name="SJOG Ethics Approval" dataDxfId="19"/>
    <tableColumn id="18" xr3:uid="{D761C224-84DB-4A19-A5DE-A0FED02242EA}" name="Others Ethics Approval" dataDxfId="18"/>
    <tableColumn id="19" xr3:uid="{20837BA9-29D0-4811-9FB7-2D6B5D622895}" name="Overall Governance Approval" dataDxfId="17"/>
    <tableColumn id="20" xr3:uid="{EF20339A-2979-4A87-90D2-747954CEAB85}" name="PCH Governance Approval" dataDxfId="16"/>
    <tableColumn id="21" xr3:uid="{70B43F0F-6BCD-481B-AE6F-3FB8E581C9FC}" name="TKI Governance Approval" dataDxfId="15"/>
    <tableColumn id="22" xr3:uid="{3599AB99-9AB4-4B40-9179-C6A5293BDC33}" name="KEMH Governance Approval" dataDxfId="14"/>
    <tableColumn id="23" xr3:uid="{A6D56650-2AE0-4EFB-AFE1-C6E750A07789}" name="SJOG Subiaco Gov. Approval" dataDxfId="13"/>
    <tableColumn id="24" xr3:uid="{5D7B2183-EA74-4B58-97D5-37B39713E12B}" name="SJOG Mt Lawley Gov. Approval" dataDxfId="12"/>
    <tableColumn id="25" xr3:uid="{72FD141E-3D6C-4F9F-BB49-6E5C1486E59D}" name="SJOG Murdoch Gov. Approval" dataDxfId="11"/>
    <tableColumn id="26" xr3:uid="{87E41995-0250-481D-9B0B-127CB14DF101}" name="Others Governance Approval" dataDxfId="10"/>
    <tableColumn id="28" xr3:uid="{802E393F-5F08-438F-A004-2797CBDC916C}" name="Overall Budget Approval" dataDxfId="9"/>
    <tableColumn id="29" xr3:uid="{48942A0D-04A4-4AA4-B0FA-0BCC4794A86F}" name="VTG Budget Approval" dataDxfId="8"/>
    <tableColumn id="30" xr3:uid="{2BF2686A-593C-48E2-A4EC-5A543E823C91}" name="TKI Budget Approval" dataDxfId="7"/>
    <tableColumn id="31" xr3:uid="{E8F3A721-A4AD-4D0A-9090-CF01FFA27211}" name="Pharmacy Quotation" dataDxfId="6"/>
    <tableColumn id="27" xr3:uid="{05AF522F-6AC7-4443-89A1-48B670B86CEF}" name="Indemnity" dataDxfId="5"/>
    <tableColumn id="32" xr3:uid="{5AC8E1DB-6C96-4851-9276-8131F5D9D6B1}" name="CTRA" dataDxfId="4"/>
    <tableColumn id="33" xr3:uid="{F3FAABC5-44EB-456B-96CF-1558F99C073F}" name="Financial Disclosure" dataDxfId="3"/>
    <tableColumn id="34" xr3:uid="{71268665-458F-45C4-B8D1-01BF5A88F4CE}" name="SIV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  <sheetView workbookViewId="1"/>
    <sheetView workbookViewId="2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6" topLeftCell="S7" activePane="bottomRight" state="frozen"/>
      <selection pane="topRight" activeCell="J1" sqref="J1"/>
      <selection pane="bottomLeft" activeCell="A7" sqref="A7"/>
      <selection pane="bottomRight" activeCell="B17" sqref="B17"/>
    </sheetView>
    <sheetView workbookViewId="1"/>
    <sheetView tabSelected="1" workbookViewId="2">
      <selection activeCell="O21" sqref="O21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customWidth="1" outlineLevel="1"/>
    <col min="130" max="130" width="32.109375" style="1" customWidth="1" outlineLevel="1"/>
    <col min="131" max="131" width="36.33203125" style="1" customWidth="1" outlineLevel="1" collapsed="1"/>
    <col min="132" max="132" width="22.88671875" style="1" customWidth="1" outlineLevel="1" collapsed="1"/>
    <col min="133" max="133" width="15.44140625" style="1" customWidth="1" outlineLevel="1"/>
    <col min="134" max="134" width="13.6640625" style="1" customWidth="1" outlineLevel="1"/>
    <col min="135" max="135" width="23.33203125" style="1" customWidth="1" outlineLevel="1"/>
    <col min="136" max="136" width="22.33203125" style="1" customWidth="1" outlineLevel="1"/>
    <col min="137" max="137" width="23" style="1" customWidth="1" outlineLevel="1"/>
    <col min="138" max="138" width="22.6640625" style="1" customWidth="1" outlineLevel="1"/>
    <col min="139" max="139" width="23.88671875" style="1" customWidth="1" outlineLevel="1"/>
    <col min="140" max="140" width="22.6640625" style="1" customWidth="1" outlineLevel="1"/>
    <col min="141" max="141" width="24.109375" style="1" customWidth="1" outlineLevel="1"/>
    <col min="142" max="142" width="20.33203125" style="1" customWidth="1" outlineLevel="1"/>
    <col min="143" max="143" width="19.5546875" style="1" customWidth="1" outlineLevel="1"/>
    <col min="144" max="144" width="22" style="1" customWidth="1" outlineLevel="1"/>
    <col min="145" max="145" width="28.44140625" style="1" customWidth="1" outlineLevel="1"/>
    <col min="146" max="146" width="30.44140625" style="1" customWidth="1" outlineLevel="1"/>
    <col min="147" max="147" width="29.5546875" style="1" customWidth="1" outlineLevel="1"/>
    <col min="148" max="148" width="22.33203125" style="1" customWidth="1" outlineLevel="1"/>
    <col min="149" max="149" width="23" style="1" customWidth="1" outlineLevel="1"/>
    <col min="150" max="150" width="22.5546875" style="1" customWidth="1" outlineLevel="1"/>
    <col min="151" max="151" width="28.33203125" style="1" customWidth="1" outlineLevel="1"/>
    <col min="152" max="160" width="21.33203125" style="1" customWidth="1" outlineLevel="1"/>
    <col min="161" max="16384" width="9.109375" style="1"/>
  </cols>
  <sheetData>
    <row r="2" spans="4:160" x14ac:dyDescent="0.3">
      <c r="DY2" s="1">
        <v>120</v>
      </c>
      <c r="DZ2" s="1">
        <v>121</v>
      </c>
      <c r="EA2" s="1">
        <v>122</v>
      </c>
    </row>
    <row r="3" spans="4:160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3">
      <c r="D4" s="44" t="s">
        <v>79</v>
      </c>
      <c r="E4" s="44"/>
      <c r="F4" s="45" t="s">
        <v>11</v>
      </c>
      <c r="G4" s="45"/>
      <c r="H4" s="43" t="s">
        <v>10</v>
      </c>
      <c r="I4" s="43"/>
      <c r="J4" s="3"/>
      <c r="K4" s="46" t="s">
        <v>12</v>
      </c>
      <c r="L4" s="46"/>
      <c r="M4" s="46"/>
      <c r="N4" s="46"/>
      <c r="O4" s="46"/>
      <c r="P4" s="16"/>
      <c r="Q4" s="43" t="s">
        <v>181</v>
      </c>
      <c r="R4" s="43"/>
      <c r="S4" s="3"/>
      <c r="T4" s="3"/>
      <c r="U4" s="3"/>
      <c r="V4" s="3"/>
      <c r="W4" s="3"/>
      <c r="X4" s="3"/>
      <c r="Y4" s="43" t="s">
        <v>180</v>
      </c>
      <c r="Z4" s="43"/>
      <c r="AA4" s="3"/>
      <c r="AB4" s="3"/>
      <c r="AC4" s="3"/>
      <c r="AD4" s="3"/>
      <c r="AE4" s="43" t="s">
        <v>188</v>
      </c>
      <c r="AF4" s="43"/>
      <c r="AM4" s="43" t="s">
        <v>195</v>
      </c>
      <c r="AN4" s="43"/>
      <c r="AQ4" s="43" t="s">
        <v>202</v>
      </c>
      <c r="AR4" s="43"/>
      <c r="BL4" s="43" t="s">
        <v>203</v>
      </c>
      <c r="BM4" s="43"/>
      <c r="CQ4" s="43" t="s">
        <v>221</v>
      </c>
      <c r="CR4" s="43"/>
      <c r="DB4" s="43" t="s">
        <v>224</v>
      </c>
      <c r="DC4" s="43"/>
      <c r="DH4" s="43" t="s">
        <v>230</v>
      </c>
      <c r="DI4" s="43"/>
      <c r="DR4" s="43" t="s">
        <v>231</v>
      </c>
      <c r="DS4" s="43"/>
      <c r="DV4" s="43" t="s">
        <v>237</v>
      </c>
      <c r="DW4" s="43"/>
      <c r="DZ4" s="43" t="s">
        <v>239</v>
      </c>
      <c r="EA4" s="43"/>
    </row>
    <row r="5" spans="4:160" x14ac:dyDescent="0.3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272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273</v>
      </c>
      <c r="FA5" s="8" t="s">
        <v>274</v>
      </c>
      <c r="FB5" s="8" t="s">
        <v>276</v>
      </c>
      <c r="FC5" s="8" t="s">
        <v>275</v>
      </c>
      <c r="FD5" s="8" t="s">
        <v>144</v>
      </c>
    </row>
    <row r="6" spans="4:160" x14ac:dyDescent="0.3">
      <c r="D6" s="5">
        <v>44452.372048611112</v>
      </c>
      <c r="E6" s="6" t="s">
        <v>87</v>
      </c>
      <c r="F6" s="5"/>
      <c r="G6" s="6"/>
      <c r="H6" s="5">
        <v>44467.007048611114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44466.971631944441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6">
        <f>IFERROR(MATCH(FALSE,Register[[#This Row],[Study Details Complete]:[SIV Complete]],0),1)</f>
        <v>1</v>
      </c>
    </row>
    <row r="7" spans="4:160" x14ac:dyDescent="0.3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6">
        <f>IFERROR(MATCH(FALSE,Register[[#This Row],[Study Details Complete]:[SIV Complete]],0),1)</f>
        <v>1</v>
      </c>
    </row>
    <row r="8" spans="4:160" x14ac:dyDescent="0.3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6">
        <f>IFERROR(MATCH(FALSE,Register[[#This Row],[Study Details Complete]:[SIV Complete]],0),1)</f>
        <v>1</v>
      </c>
    </row>
    <row r="9" spans="4:160" x14ac:dyDescent="0.3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6">
        <f>IFERROR(MATCH(FALSE,Register[[#This Row],[Study Details Complete]:[SIV Complete]],0),1)</f>
        <v>1</v>
      </c>
    </row>
    <row r="10" spans="4:160" x14ac:dyDescent="0.3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6">
        <f>IFERROR(MATCH(FALSE,Register[[#This Row],[Study Details Complete]:[SIV Complete]],0),1)</f>
        <v>1</v>
      </c>
    </row>
    <row r="11" spans="4:160" x14ac:dyDescent="0.3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6">
        <f>IFERROR(MATCH(FALSE,Register[[#This Row],[Study Details Complete]:[SIV Complete]],0),1)</f>
        <v>1</v>
      </c>
    </row>
    <row r="12" spans="4:160" x14ac:dyDescent="0.3">
      <c r="D12" s="5">
        <v>44452.381851851853</v>
      </c>
      <c r="E12" s="6" t="s">
        <v>87</v>
      </c>
      <c r="F12" s="5"/>
      <c r="G12" s="6"/>
      <c r="H12" s="5">
        <v>44467.007777777777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44467.007708333331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6">
        <f>IFERROR(MATCH(FALSE,Register[[#This Row],[Study Details Complete]:[SIV Complete]],0),1)</f>
        <v>1</v>
      </c>
    </row>
    <row r="13" spans="4:160" x14ac:dyDescent="0.3">
      <c r="D13" s="5">
        <v>44463.083506944444</v>
      </c>
      <c r="E13" s="6" t="s">
        <v>87</v>
      </c>
      <c r="F13" s="5"/>
      <c r="G13" s="6"/>
      <c r="H13" s="5">
        <v>44467.0075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IF(COUNTA(Register[[#This Row],[Ethics - CAHS Complete]:[Ethics - Others Complete]])=0, "",IF(COUNTIF(Register[[#This Row],[Ethics - CAHS Complete]:[Ethics - Others Complete]],TRUE)&gt;0,TRUE,FALSE))</f>
        <v/>
      </c>
      <c r="FA13" s="6" t="str">
        <f>IF(COUNTA(Register[[#This Row],[Gov - PCH Complete]:[Gov - Others Complete]])=0,"",IF(COUNTIF(Register[[#This Row],[Gov - PCH Complete]:[Gov - Others Complete]],TRUE)&gt;0,TRUE,FALSE))</f>
        <v/>
      </c>
      <c r="FB13" s="6" t="str">
        <f>IF(COUNTA(Register[[#This Row],[Budget - VTG Complete]:[Budget - Pharmacy Complete]])=0,"",IF(COUNTIF(Register[[#This Row],[Budget - VTG Complete]:[Budget - Pharmacy Complete]],TRUE)=3,TRUE,FALSE))</f>
        <v/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>IFERROR(MATCH(FALSE,Register[[#This Row],[Study Details Complete]:[SIV Complete]],0),1)</f>
        <v>1</v>
      </c>
    </row>
    <row r="14" spans="4:160" x14ac:dyDescent="0.3">
      <c r="D14" s="5">
        <v>44464.8440162037</v>
      </c>
      <c r="E14" s="6" t="s">
        <v>246</v>
      </c>
      <c r="F14" s="5"/>
      <c r="G14" s="6"/>
      <c r="H14" s="5">
        <v>44467.007071759261</v>
      </c>
      <c r="I14" s="6" t="s">
        <v>87</v>
      </c>
      <c r="J14" s="4" t="s">
        <v>243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44467.006296296298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 t="str">
        <f>IF(COUNTA(Register[[#This Row],[Ethics - CAHS Complete]:[Ethics - Others Complete]])=0, "",IF(COUNTIF(Register[[#This Row],[Ethics - CAHS Complete]:[Ethics - Others Complete]],TRUE)&gt;0,TRUE,FALSE))</f>
        <v/>
      </c>
      <c r="FA14" s="6" t="str">
        <f>IF(COUNTA(Register[[#This Row],[Gov - PCH Complete]:[Gov - Others Complete]])=0,"",IF(COUNTIF(Register[[#This Row],[Gov - PCH Complete]:[Gov - Others Complete]],TRUE)&gt;0,TRUE,FALSE))</f>
        <v/>
      </c>
      <c r="FB14" s="6" t="str">
        <f>IF(COUNTA(Register[[#This Row],[Budget - VTG Complete]:[Budget - Pharmacy Complete]])=0,"",IF(COUNTIF(Register[[#This Row],[Budget - VTG Complete]:[Budget - Pharmacy Complete]],TRUE)=3,TRUE,FALSE))</f>
        <v/>
      </c>
      <c r="FC14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4" s="15">
        <f>IFERROR(MATCH(FALSE,Register[[#This Row],[Study Details Complete]:[SIV Complete]],0),1)</f>
        <v>1</v>
      </c>
    </row>
    <row r="15" spans="4:160" x14ac:dyDescent="0.3">
      <c r="D15" s="5">
        <v>44466.823842592596</v>
      </c>
      <c r="E15" s="6" t="s">
        <v>87</v>
      </c>
      <c r="F15" s="5"/>
      <c r="G15" s="6"/>
      <c r="H15" s="5">
        <v>44467.007060185184</v>
      </c>
      <c r="I15" s="6" t="s">
        <v>87</v>
      </c>
      <c r="J15" s="4" t="s">
        <v>243</v>
      </c>
      <c r="K15" s="4"/>
      <c r="L15" s="4">
        <v>133</v>
      </c>
      <c r="M15" s="4"/>
      <c r="N15" s="4"/>
      <c r="O15" s="42"/>
      <c r="P15" s="7"/>
      <c r="Q15" s="5">
        <v>44466.971875000003</v>
      </c>
      <c r="R15" s="6" t="s">
        <v>87</v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6"/>
      <c r="AE15" s="5"/>
      <c r="AF15" s="6"/>
      <c r="AG15" s="19"/>
      <c r="AH15" s="4"/>
      <c r="AI15" s="19"/>
      <c r="AJ15" s="4"/>
      <c r="AK15" s="19"/>
      <c r="AL15" s="6"/>
      <c r="AM15" s="5"/>
      <c r="AN15" s="6"/>
      <c r="AO15" s="19"/>
      <c r="AP15" s="6"/>
      <c r="AQ15" s="5"/>
      <c r="AR15" s="6"/>
      <c r="AS15" s="19"/>
      <c r="AT15" s="4"/>
      <c r="AU15" s="4"/>
      <c r="AV15" s="19"/>
      <c r="AW15" s="19"/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/>
      <c r="BI15" s="19"/>
      <c r="BJ15" s="19"/>
      <c r="BK15" s="4"/>
      <c r="BL15" s="5"/>
      <c r="BM15" s="6"/>
      <c r="BN15" s="19"/>
      <c r="BO15" s="19"/>
      <c r="BP15" s="19"/>
      <c r="BQ15" s="19"/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19"/>
      <c r="CN15" s="19"/>
      <c r="CO15" s="19"/>
      <c r="CP15" s="4"/>
      <c r="CQ15" s="5"/>
      <c r="CR15" s="6"/>
      <c r="CS15" s="19"/>
      <c r="CT15" s="19"/>
      <c r="CU15" s="19"/>
      <c r="CV15" s="19"/>
      <c r="CW15" s="19"/>
      <c r="CX15" s="19"/>
      <c r="CY15" s="19"/>
      <c r="CZ15" s="19"/>
      <c r="DA15" s="19"/>
      <c r="DB15" s="5"/>
      <c r="DC15" s="6"/>
      <c r="DD15" s="19"/>
      <c r="DE15" s="19"/>
      <c r="DF15" s="19"/>
      <c r="DG15" s="6"/>
      <c r="DH15" s="5"/>
      <c r="DI15" s="6"/>
      <c r="DJ15" s="19"/>
      <c r="DK15" s="19"/>
      <c r="DL15" s="19"/>
      <c r="DM15" s="19"/>
      <c r="DN15" s="19"/>
      <c r="DO15" s="19"/>
      <c r="DP15" s="19"/>
      <c r="DQ15" s="6"/>
      <c r="DR15" s="5"/>
      <c r="DS15" s="6"/>
      <c r="DT15" s="19"/>
      <c r="DU15" s="6"/>
      <c r="DV15" s="5"/>
      <c r="DW15" s="6"/>
      <c r="DX15" s="19"/>
      <c r="DY15" s="6"/>
      <c r="DZ15" s="5"/>
      <c r="EA15" s="6"/>
      <c r="EB15" s="15" t="b">
        <v>0</v>
      </c>
      <c r="EC15" s="15"/>
      <c r="ED15" s="15"/>
      <c r="EE15" s="15"/>
      <c r="EF15" s="15"/>
      <c r="EG15" s="15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15" t="str">
        <f>IF(COUNTA(Register[[#This Row],[Ethics - CAHS Complete]:[Ethics - Others Complete]])=0, "",IF(COUNTIF(Register[[#This Row],[Ethics - CAHS Complete]:[Ethics - Others Complete]],TRUE)&gt;0,TRUE,FALSE))</f>
        <v/>
      </c>
      <c r="FA15" s="6" t="str">
        <f>IF(COUNTA(Register[[#This Row],[Gov - PCH Complete]:[Gov - Others Complete]])=0,"",IF(COUNTIF(Register[[#This Row],[Gov - PCH Complete]:[Gov - Others Complete]],TRUE)&gt;0,TRUE,FALSE))</f>
        <v/>
      </c>
      <c r="FB15" s="6" t="str">
        <f>IF(COUNTA(Register[[#This Row],[Budget - VTG Complete]:[Budget - Pharmacy Complete]])=0,"",IF(COUNTIF(Register[[#This Row],[Budget - VTG Complete]:[Budget - Pharmacy Complete]],TRUE)=3,TRUE,FALSE))</f>
        <v/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</v>
      </c>
    </row>
    <row r="16" spans="4:160" x14ac:dyDescent="0.3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3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3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3">
      <c r="J19" s="17"/>
      <c r="K19" s="17"/>
    </row>
    <row r="20" spans="10:132" x14ac:dyDescent="0.3">
      <c r="J20" s="17"/>
      <c r="K20" s="17"/>
      <c r="M20" s="47"/>
    </row>
    <row r="21" spans="10:132" x14ac:dyDescent="0.3">
      <c r="EB21" s="48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4" ySplit="8" topLeftCell="E15" activePane="bottomRight" state="frozen"/>
      <selection pane="topRight" activeCell="E1" sqref="E1"/>
      <selection pane="bottomLeft" activeCell="A9" sqref="A9"/>
      <selection pane="bottomRight" activeCell="D9" sqref="D9"/>
    </sheetView>
    <sheetView tabSelected="1" workbookViewId="1"/>
    <sheetView workbookViewId="2">
      <pane xSplit="3" ySplit="8" topLeftCell="D9" activePane="bottomRight" state="frozen"/>
      <selection pane="topRight" activeCell="D1" sqref="D1"/>
      <selection pane="bottomLeft" activeCell="A9" sqref="A9"/>
      <selection pane="bottomRight" activeCell="E14" sqref="E14"/>
    </sheetView>
  </sheetViews>
  <sheetFormatPr defaultRowHeight="14.4" x14ac:dyDescent="0.3"/>
  <cols>
    <col min="1" max="1" width="20.77734375" customWidth="1"/>
    <col min="2" max="2" width="18.77734375" customWidth="1"/>
    <col min="3" max="3" width="40.77734375" customWidth="1"/>
    <col min="4" max="4" width="20.77734375" customWidth="1"/>
    <col min="5" max="7" width="18.77734375" customWidth="1"/>
    <col min="8" max="9" width="32.77734375" customWidth="1"/>
    <col min="10" max="27" width="32.77734375" style="1" customWidth="1"/>
    <col min="28" max="28" width="32.77734375" customWidth="1"/>
    <col min="29" max="36" width="32.77734375" style="1" customWidth="1"/>
  </cols>
  <sheetData>
    <row r="1" spans="1:36" ht="18" x14ac:dyDescent="0.35">
      <c r="A1" s="50" t="s">
        <v>147</v>
      </c>
      <c r="C1" s="51" t="s">
        <v>282</v>
      </c>
      <c r="D1" s="20"/>
      <c r="I1" s="1"/>
      <c r="AB1" s="1"/>
      <c r="AI1"/>
      <c r="AJ1"/>
    </row>
    <row r="2" spans="1:36" x14ac:dyDescent="0.3">
      <c r="I2" s="1"/>
      <c r="AB2" s="1"/>
      <c r="AI2"/>
      <c r="AJ2"/>
    </row>
    <row r="3" spans="1:36" x14ac:dyDescent="0.3">
      <c r="A3" t="s">
        <v>278</v>
      </c>
      <c r="B3" s="21"/>
      <c r="I3" s="1"/>
      <c r="AB3" s="1"/>
      <c r="AI3"/>
      <c r="AJ3"/>
    </row>
    <row r="4" spans="1:36" x14ac:dyDescent="0.3">
      <c r="A4" t="s">
        <v>279</v>
      </c>
      <c r="B4" s="22"/>
      <c r="I4" s="1"/>
      <c r="AB4" s="1"/>
      <c r="AI4"/>
      <c r="AJ4"/>
    </row>
    <row r="5" spans="1:36" x14ac:dyDescent="0.3">
      <c r="D5" s="24"/>
      <c r="I5" s="1"/>
      <c r="AB5" s="1"/>
      <c r="AI5"/>
      <c r="AJ5"/>
    </row>
    <row r="6" spans="1:36" x14ac:dyDescent="0.3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3">
      <c r="B7" s="23"/>
      <c r="D7" s="23"/>
      <c r="I7" s="1"/>
      <c r="AB7" s="1"/>
      <c r="AI7"/>
      <c r="AJ7"/>
    </row>
    <row r="8" spans="1:36" x14ac:dyDescent="0.3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259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260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3">
      <c r="A9" s="35" t="s">
        <v>243</v>
      </c>
      <c r="B9" s="36">
        <v>44452</v>
      </c>
      <c r="C9" s="26" t="s">
        <v>88</v>
      </c>
      <c r="D9" s="37">
        <v>44466.97152777778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2" x14ac:dyDescent="0.3">
      <c r="A10" s="35" t="s">
        <v>243</v>
      </c>
      <c r="B10" s="36">
        <v>44452</v>
      </c>
      <c r="C10" s="26" t="s">
        <v>95</v>
      </c>
      <c r="D10" s="37">
        <v>44466.97152777778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3">
      <c r="A11" s="35" t="s">
        <v>243</v>
      </c>
      <c r="B11" s="36">
        <v>44452</v>
      </c>
      <c r="C11" s="26" t="s">
        <v>103</v>
      </c>
      <c r="D11" s="37">
        <v>44466.97152777778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3">
      <c r="A12" s="35" t="s">
        <v>243</v>
      </c>
      <c r="B12" s="36">
        <v>44452</v>
      </c>
      <c r="C12" s="26" t="s">
        <v>106</v>
      </c>
      <c r="D12" s="37">
        <v>44466.97152777778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3">
      <c r="A13" s="35" t="s">
        <v>243</v>
      </c>
      <c r="B13" s="36">
        <v>44452</v>
      </c>
      <c r="C13" s="26" t="s">
        <v>107</v>
      </c>
      <c r="D13" s="37">
        <v>44466.97152777778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44" x14ac:dyDescent="0.3">
      <c r="A14" s="35" t="s">
        <v>243</v>
      </c>
      <c r="B14" s="36">
        <v>44452</v>
      </c>
      <c r="C14" s="26" t="s">
        <v>111</v>
      </c>
      <c r="D14" s="37">
        <v>44466.993750000001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257</v>
      </c>
      <c r="M14" s="34" t="s">
        <v>258</v>
      </c>
      <c r="N14" s="34" t="s">
        <v>280</v>
      </c>
      <c r="O14" s="34" t="s">
        <v>261</v>
      </c>
      <c r="P14" s="34" t="s">
        <v>262</v>
      </c>
      <c r="Q14" s="26"/>
      <c r="R14" s="26"/>
      <c r="S14" s="34" t="s">
        <v>277</v>
      </c>
      <c r="T14" s="34" t="s">
        <v>265</v>
      </c>
      <c r="U14" s="35" t="s">
        <v>266</v>
      </c>
      <c r="V14" s="26"/>
      <c r="W14" s="26"/>
      <c r="X14" s="26"/>
      <c r="Y14" s="26"/>
      <c r="Z14" s="26"/>
      <c r="AA14" s="26"/>
      <c r="AB14" s="35" t="s">
        <v>267</v>
      </c>
      <c r="AC14" s="34" t="s">
        <v>268</v>
      </c>
      <c r="AD14" s="34" t="s">
        <v>269</v>
      </c>
      <c r="AE14" s="34" t="s">
        <v>281</v>
      </c>
      <c r="AF14" s="35" t="s">
        <v>270</v>
      </c>
      <c r="AG14" s="26"/>
      <c r="AH14" s="34" t="s">
        <v>271</v>
      </c>
    </row>
    <row r="15" spans="1:36" x14ac:dyDescent="0.3">
      <c r="A15" s="35" t="s">
        <v>243</v>
      </c>
      <c r="B15" s="36">
        <v>44463</v>
      </c>
      <c r="C15" s="26" t="s">
        <v>179</v>
      </c>
      <c r="D15" s="37">
        <v>44466.993750000001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6"/>
      <c r="AB15" s="27"/>
      <c r="AC15" s="27"/>
      <c r="AD15" s="27"/>
      <c r="AE15" s="27"/>
      <c r="AF15" s="27"/>
      <c r="AG15" s="26"/>
      <c r="AH15" s="27"/>
      <c r="AI15"/>
      <c r="AJ15"/>
    </row>
    <row r="16" spans="1:36" x14ac:dyDescent="0.3">
      <c r="A16" s="35" t="s">
        <v>256</v>
      </c>
      <c r="B16" s="36">
        <v>44464</v>
      </c>
      <c r="C16" s="26" t="s">
        <v>247</v>
      </c>
      <c r="D16" s="37">
        <v>44464.863194444442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6"/>
      <c r="AB16" s="27"/>
      <c r="AC16" s="27"/>
      <c r="AD16" s="27"/>
      <c r="AE16" s="27"/>
      <c r="AF16" s="27"/>
      <c r="AG16" s="26"/>
      <c r="AH16" s="27"/>
      <c r="AI16"/>
      <c r="AJ16"/>
    </row>
    <row r="17" spans="1:36" x14ac:dyDescent="0.3">
      <c r="A17" s="35" t="s">
        <v>243</v>
      </c>
      <c r="B17" s="36">
        <v>44466</v>
      </c>
      <c r="C17" s="26">
        <v>133</v>
      </c>
      <c r="D17" s="37">
        <v>44466.993750000001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6"/>
      <c r="AB17" s="27"/>
      <c r="AC17" s="27"/>
      <c r="AD17" s="27"/>
      <c r="AE17" s="27"/>
      <c r="AF17" s="27"/>
      <c r="AG17" s="26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2021-09-27T16:49:59Z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