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8_{8565BC4C-A754-4F20-8F38-52B2D8A25B67}" xr6:coauthVersionLast="47" xr6:coauthVersionMax="47" xr10:uidLastSave="{00000000-0000-0000-0000-000000000000}"/>
  <bookViews>
    <workbookView xWindow="22932" yWindow="-108" windowWidth="23256" windowHeight="12576" activeTab="1" xr2:uid="{1ABECFD8-9AF8-44EB-A383-5C62445662D9}"/>
  </bookViews>
  <sheets>
    <sheet name="User Guide" sheetId="8" r:id="rId1"/>
    <sheet name="Register" sheetId="1" r:id="rId2"/>
    <sheet name="Overview Report" sheetId="11" r:id="rId3"/>
    <sheet name="Register (2)" sheetId="12" r:id="rId4"/>
  </sheets>
  <functionGroups builtInGroupCount="19"/>
  <definedNames>
    <definedName name="_xlnm._FilterDatabase" localSheetId="2" hidden="1">'Overview Report'!$A$8:$AH$17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D15" i="1" l="1"/>
  <c r="FB15" i="1"/>
  <c r="FA15" i="1"/>
  <c r="EZ15" i="1"/>
  <c r="FC15" i="1" s="1"/>
  <c r="FD14" i="1"/>
  <c r="FC14" i="1"/>
  <c r="FB14" i="1"/>
  <c r="FA14" i="1"/>
  <c r="EZ14" i="1"/>
  <c r="FD13" i="1"/>
  <c r="FC13" i="1"/>
  <c r="FB13" i="1"/>
  <c r="FA13" i="1"/>
  <c r="EZ13" i="1"/>
  <c r="FD12" i="1"/>
  <c r="FC12" i="1"/>
  <c r="FB12" i="1"/>
  <c r="FA12" i="1"/>
  <c r="EZ12" i="1"/>
  <c r="FD11" i="1"/>
  <c r="FC11" i="1"/>
  <c r="FB11" i="1"/>
  <c r="FA11" i="1"/>
  <c r="EZ11" i="1"/>
  <c r="FD10" i="1"/>
  <c r="FC10" i="1"/>
  <c r="FB10" i="1"/>
  <c r="FA10" i="1"/>
  <c r="EZ10" i="1"/>
  <c r="FD9" i="1"/>
  <c r="FC9" i="1"/>
  <c r="FB9" i="1"/>
  <c r="FA9" i="1"/>
  <c r="EZ9" i="1"/>
  <c r="FD8" i="1"/>
  <c r="FC8" i="1"/>
  <c r="FB8" i="1"/>
  <c r="FA8" i="1"/>
  <c r="EZ8" i="1"/>
  <c r="FD7" i="1"/>
  <c r="FC7" i="1"/>
  <c r="FB7" i="1"/>
  <c r="FA7" i="1"/>
  <c r="EZ7" i="1"/>
  <c r="FD6" i="1"/>
  <c r="FC6" i="1"/>
  <c r="FB6" i="1"/>
  <c r="FA6" i="1"/>
  <c r="EZ6" i="1"/>
  <c r="EZ7" i="12"/>
  <c r="FC7" i="12" s="1"/>
  <c r="FA7" i="12"/>
  <c r="FB7" i="12"/>
  <c r="FD7" i="12"/>
  <c r="EZ8" i="12"/>
  <c r="FA8" i="12"/>
  <c r="FC8" i="12" s="1"/>
  <c r="FB8" i="12"/>
  <c r="FD8" i="12"/>
  <c r="EZ9" i="12"/>
  <c r="FC9" i="12" s="1"/>
  <c r="FA9" i="12"/>
  <c r="FB9" i="12"/>
  <c r="FD9" i="12"/>
  <c r="EZ10" i="12"/>
  <c r="FC10" i="12" s="1"/>
  <c r="FA10" i="12"/>
  <c r="FB10" i="12"/>
  <c r="FD10" i="12"/>
  <c r="EZ11" i="12"/>
  <c r="FA11" i="12"/>
  <c r="FB11" i="12"/>
  <c r="FC11" i="12"/>
  <c r="FD11" i="12"/>
  <c r="EZ12" i="12"/>
  <c r="FA12" i="12"/>
  <c r="FC12" i="12" s="1"/>
  <c r="FB12" i="12"/>
  <c r="FD12" i="12"/>
  <c r="EZ13" i="12"/>
  <c r="FC13" i="12" s="1"/>
  <c r="FA13" i="12"/>
  <c r="FB13" i="12"/>
  <c r="FD13" i="12"/>
  <c r="EZ14" i="12"/>
  <c r="FA14" i="12"/>
  <c r="FB14" i="12"/>
  <c r="FC14" i="12"/>
  <c r="FD14" i="12"/>
  <c r="EZ15" i="12"/>
  <c r="FC15" i="12" s="1"/>
  <c r="FA15" i="12"/>
  <c r="FB15" i="12"/>
  <c r="FD15" i="12"/>
  <c r="EZ6" i="12"/>
  <c r="FA6" i="12"/>
  <c r="FB6" i="12"/>
  <c r="FC6" i="12"/>
  <c r="FD6" i="12"/>
</calcChain>
</file>

<file path=xl/sharedStrings.xml><?xml version="1.0" encoding="utf-8"?>
<sst xmlns="http://schemas.openxmlformats.org/spreadsheetml/2006/main" count="753" uniqueCount="305">
  <si>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</si>
  <si>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</si>
  <si>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</si>
  <si>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</si>
  <si>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</si>
  <si>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</si>
  <si>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</si>
  <si>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</si>
  <si>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</si>
  <si>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</si>
  <si>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</si>
  <si>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</si>
  <si>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</si>
  <si>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</si>
  <si>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</si>
  <si>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</si>
  <si>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</si>
  <si>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</si>
  <si>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</si>
  <si>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</si>
  <si>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</si>
  <si>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</si>
  <si>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</si>
  <si>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</si>
  <si>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</si>
  <si>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</si>
  <si>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</si>
  <si>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</si>
  <si>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</si>
  <si>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</si>
  <si>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</si>
  <si>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</si>
  <si>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</si>
  <si>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</si>
  <si>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</si>
  <si>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</si>
  <si>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</si>
  <si>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</si>
  <si>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</si>
  <si>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</si>
  <si>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</si>
  <si>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</si>
  <si>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</si>
  <si>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</si>
  <si>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</si>
  <si>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</si>
  <si>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</si>
  <si>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</si>
  <si>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</si>
  <si>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</si>
  <si>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</si>
  <si>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</si>
  <si>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</si>
  <si>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</si>
  <si>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</si>
  <si>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</si>
  <si>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</si>
  <si>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</si>
  <si>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</si>
  <si>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</si>
  <si>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</si>
  <si>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</si>
  <si>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</si>
  <si>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</si>
  <si>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</si>
  <si>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</si>
  <si>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</si>
  <si>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</si>
  <si>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</si>
  <si>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</si>
  <si>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</si>
  <si>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</si>
  <si>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</si>
  <si>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</si>
  <si>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</si>
  <si>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</si>
  <si>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</si>
  <si>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</si>
  <si>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</si>
  <si>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</si>
  <si>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</si>
  <si>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</si>
  <si>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</si>
  <si>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</si>
  <si>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</si>
  <si>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</si>
  <si>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</si>
  <si>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</si>
  <si>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</si>
  <si>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</si>
  <si>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</si>
  <si>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</si>
  <si>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</si>
  <si>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</si>
  <si>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</si>
  <si>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</si>
  <si>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</si>
  <si>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</si>
  <si>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</si>
  <si>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</si>
  <si>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</si>
  <si>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</si>
  <si>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</si>
  <si>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</si>
  <si>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</si>
  <si>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</si>
  <si>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</si>
  <si>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</si>
  <si>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</si>
  <si>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</si>
  <si>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</si>
  <si>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</si>
  <si>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</si>
  <si>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</si>
  <si>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</si>
  <si>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</si>
  <si>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</si>
  <si>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</si>
  <si>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</si>
  <si>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</si>
  <si>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</si>
  <si>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</si>
  <si>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</si>
  <si>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</si>
  <si>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</si>
  <si>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</si>
  <si>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</si>
  <si>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</si>
  <si>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</si>
  <si>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</si>
  <si>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</si>
  <si>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</si>
  <si>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</si>
  <si>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</si>
  <si>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</si>
  <si>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</si>
  <si>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</si>
  <si>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</si>
  <si>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</si>
  <si>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</si>
  <si>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</si>
  <si>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</si>
  <si>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</si>
  <si>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</si>
  <si>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</si>
  <si>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</si>
  <si>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</si>
  <si>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Vaccine Trial Start-ups Tracking Form</t>
  </si>
  <si>
    <t>Sponsor</t>
  </si>
  <si>
    <t>Protocol Number</t>
  </si>
  <si>
    <t>CDA</t>
  </si>
  <si>
    <t>Feasibility</t>
  </si>
  <si>
    <t>Site Selection</t>
  </si>
  <si>
    <t>Recruitment Plan</t>
  </si>
  <si>
    <t>Indemnity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</si>
  <si>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</si>
  <si>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</si>
  <si>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</si>
  <si>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</si>
  <si>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</si>
  <si>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</si>
  <si>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</si>
  <si>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</si>
  <si>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</si>
  <si>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</si>
  <si>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</si>
  <si>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</si>
  <si>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</si>
  <si>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</si>
  <si>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</si>
  <si>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</si>
  <si>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</si>
  <si>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</si>
  <si>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</si>
  <si>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</si>
  <si>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</si>
  <si>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</si>
  <si>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</si>
  <si>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</si>
  <si>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add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</si>
  <si>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</si>
  <si>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</si>
  <si>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</si>
  <si>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</si>
  <si>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</si>
  <si>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</si>
  <si>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</si>
  <si>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</si>
  <si>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</si>
  <si>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</si>
  <si>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</si>
  <si>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</si>
  <si>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</si>
  <si>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</si>
  <si>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</si>
  <si>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</si>
  <si>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</si>
  <si>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</si>
  <si>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</si>
  <si>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</si>
  <si>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</si>
  <si>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</si>
  <si>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</si>
  <si>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</si>
  <si>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</si>
  <si>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</si>
  <si>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</si>
  <si>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</si>
  <si>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</si>
  <si>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</si>
  <si>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</si>
  <si>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</si>
  <si>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</si>
  <si>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</si>
  <si>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</si>
  <si>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</si>
  <si>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</si>
  <si>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</si>
  <si>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</si>
  <si>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</si>
  <si>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</si>
  <si>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</si>
  <si>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</si>
  <si>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</si>
  <si>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</si>
  <si>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</si>
  <si>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</si>
  <si>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</si>
  <si>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</si>
  <si>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</si>
  <si>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</si>
  <si>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</si>
  <si>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</si>
  <si>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</si>
  <si>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</si>
  <si>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</si>
  <si>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</si>
  <si>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</si>
  <si>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</si>
  <si>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</si>
  <si>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</si>
  <si>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</si>
  <si>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</si>
  <si>
    <t>Pre-commencement</t>
  </si>
  <si>
    <t>aDASAF</t>
  </si>
  <si>
    <t>BR mentioned need to confirm if $$s are oksss</t>
  </si>
  <si>
    <t>Anfernee Alviar</t>
  </si>
  <si>
    <t>Anti-Death Equation</t>
  </si>
  <si>
    <t>The Dark Side Inc.</t>
  </si>
  <si>
    <t>Glorious Godfrey</t>
  </si>
  <si>
    <t>D4RKS31D</t>
  </si>
  <si>
    <t>Apo-Ko-Lips</t>
  </si>
  <si>
    <t>12 to 65</t>
  </si>
  <si>
    <t/>
  </si>
  <si>
    <t>New Genesis Committee</t>
  </si>
  <si>
    <t>Fourth World</t>
  </si>
  <si>
    <t>Plan. Meeting = 05-Apr-20</t>
  </si>
  <si>
    <t>CAHS Complete
NMA Complete
WNHS Complete</t>
  </si>
  <si>
    <t>Overall Governance Approval</t>
  </si>
  <si>
    <t>Overall Budget Approval</t>
  </si>
  <si>
    <t>PCH Complete
TKI Complete</t>
  </si>
  <si>
    <t>Ethics Commitee = NMT
Date Submitted = 01-Jan-20
Date Approved = 26-Jan-20</t>
  </si>
  <si>
    <t>Date Submitted = 20-Jan-20
Date Approved = 24-Jan-20</t>
  </si>
  <si>
    <t xml:space="preserve">
Reminder:
Call Mr M to followup on 17th October</t>
  </si>
  <si>
    <t>Age Range / Reminder</t>
  </si>
  <si>
    <t>Date Submitted = 01-Jun-20
Date Responded = 05-May-20
Date Approved = 09-Sep-20</t>
  </si>
  <si>
    <t>Date Approved = 05-Sep-20</t>
  </si>
  <si>
    <t>Date Quote Recv. = 01-Aug-20
Date PO Finalised = 30-Sep-20</t>
  </si>
  <si>
    <t>Budget - TKI Complete</t>
  </si>
  <si>
    <t>VTG Complete
TKI Complete
Pharmacy Complete</t>
  </si>
  <si>
    <t>Overall Ethics</t>
  </si>
  <si>
    <t>Overall Governance</t>
  </si>
  <si>
    <t>Overall Study</t>
  </si>
  <si>
    <t>Overall Budget</t>
  </si>
  <si>
    <t>Completed activity</t>
  </si>
  <si>
    <t>Incomplete activity</t>
  </si>
  <si>
    <t>Date Submitted = 01-Jun-20
Date Responded = 01-Sep-21
Date Resubmitted = 01-Feb-21
Date Approved = 30-Jun-20</t>
  </si>
  <si>
    <t>Date Submitted = 01-Jul-20
Date Responded = 05-Jul-20
Date Approved = 01-Aug-20</t>
  </si>
  <si>
    <t>Date Finalised = 01-Aug-20
Date Submitted Finance = 15-Aug-20
Date Approved = 01-Sep-20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</si>
  <si>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</si>
  <si>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</si>
  <si>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</si>
  <si>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Date of SIV = 01-Jan-19</t>
  </si>
  <si>
    <t>Date Received = 01-Nov-20
Date Sent Contracts = 01-Nov-20
Date Completed = 01-Jan-21
Reminder:
Fully insured</t>
  </si>
  <si>
    <t>Data retrieved 28-Sep-2021 10:05 AM</t>
  </si>
  <si>
    <t>Commenced</t>
  </si>
  <si>
    <t>1155-99-2020</t>
  </si>
  <si>
    <t>Vaccine Study</t>
  </si>
  <si>
    <t>UWA</t>
  </si>
  <si>
    <t>UWA CRO</t>
  </si>
  <si>
    <t>Teenagers between 12 and 17 yrs</t>
  </si>
  <si>
    <t>BB</t>
  </si>
  <si>
    <t>Reminder Feas</t>
  </si>
  <si>
    <t>Reminder CDA</t>
  </si>
  <si>
    <t>Reminder Study Details</t>
  </si>
  <si>
    <t>Reminder Site Selection</t>
  </si>
  <si>
    <t>Reminder recruitment</t>
  </si>
  <si>
    <t>Reminder CAHS</t>
  </si>
  <si>
    <t>Reminder Others</t>
  </si>
  <si>
    <t>Reminder PCH</t>
  </si>
  <si>
    <t>Reminder SJOG Mt Lawley</t>
  </si>
  <si>
    <t>Reminder SIV</t>
  </si>
  <si>
    <t>Cambridge1</t>
  </si>
  <si>
    <t>Teenagers between 12 yrs and 16 yrs</t>
  </si>
  <si>
    <t>Reminder VTG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</si>
</sst>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7" fontId="2" fillId="0" borderId="0" xfId="0" applyNumberFormat="1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</cellXfs>
  <cellStyles count="1">
    <cellStyle name="Normal" xfId="0" builtinId="0"/>
  </cellStyles>
  <dxfs count="35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rgb="FFF6B0B0"/>
          <bgColor rgb="FF000000"/>
        </patternFill>
      </fill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64770" y="59055"/>
          <a:ext cx="1935480" cy="3238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15</xdr:row>
      <xdr:rowOff>0</xdr:rowOff>
    </xdr:from>
    <xdr:to>
      <xdr:col>1</xdr:col>
      <xdr:colOff>1379220</xdr:colOff>
      <xdr:row>15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314AE93-B147-4320-A022-E97D267BD4DC}"/>
            </a:ext>
          </a:extLst>
        </xdr:cNvPr>
        <xdr:cNvSpPr/>
      </xdr:nvSpPr>
      <xdr:spPr>
        <a:xfrm>
          <a:off x="66675" y="62865"/>
          <a:ext cx="1922145" cy="3429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BDEDC21-B932-440D-B9C2-D0BDA0C873B1}"/>
            </a:ext>
          </a:extLst>
        </xdr:cNvPr>
        <xdr:cNvSpPr/>
      </xdr:nvSpPr>
      <xdr:spPr>
        <a:xfrm>
          <a:off x="2731770" y="28577"/>
          <a:ext cx="1510665" cy="20764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15</xdr:row>
      <xdr:rowOff>0</xdr:rowOff>
    </xdr:from>
    <xdr:to>
      <xdr:col>1</xdr:col>
      <xdr:colOff>1379220</xdr:colOff>
      <xdr:row>15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0C3B3E7-DB98-4BC9-80D5-52531234066B}"/>
            </a:ext>
          </a:extLst>
        </xdr:cNvPr>
        <xdr:cNvSpPr/>
      </xdr:nvSpPr>
      <xdr:spPr>
        <a:xfrm>
          <a:off x="78105" y="2857500"/>
          <a:ext cx="1489710" cy="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94406F3-1F62-4288-8BEA-60C4A5F74D3A}"/>
            </a:ext>
          </a:extLst>
        </xdr:cNvPr>
        <xdr:cNvSpPr/>
      </xdr:nvSpPr>
      <xdr:spPr>
        <a:xfrm>
          <a:off x="4467225" y="7620"/>
          <a:ext cx="1506855" cy="21336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5" totalsRowShown="0" headerRowDxfId="354" dataDxfId="353">
  <tableColumns count="157">
    <tableColumn id="2" xr3:uid="{E7B8E3E7-876D-4E6F-8DB6-EF6D63439B27}" name="Date Entry Created" dataDxfId="352"/>
    <tableColumn id="3" xr3:uid="{3B5F919B-773E-47C5-BF9F-89E119924443}" name="User who Created Entry" dataDxfId="351"/>
    <tableColumn id="4" xr3:uid="{52C1C417-C52A-493E-89C7-EC47FA6A00DC}" name="Date Entry Deleted" dataDxfId="350"/>
    <tableColumn id="5" xr3:uid="{39C233C4-ADDB-4C9D-B737-5A0D8E1492BE}" name="User who Deleted Entry" dataDxfId="349"/>
    <tableColumn id="6" xr3:uid="{53729740-3F8D-4BAC-8FEC-59BDF6B2F443}" name="Date Entry Last Accessed" dataDxfId="348"/>
    <tableColumn id="7" xr3:uid="{DA0D4432-1F96-408E-9E20-0A93307325A9}" name="User who Last Accessed Entry" dataDxfId="347"/>
    <tableColumn id="8" xr3:uid="{6F0FF61C-C081-4935-8428-D4A47A4BBCB1}" name="Study Status" dataDxfId="346"/>
    <tableColumn id="9" xr3:uid="{C168B0E8-6B0E-4738-889B-03EE11931C45}" name="Protocol No." dataDxfId="345"/>
    <tableColumn id="10" xr3:uid="{62BEA025-DC58-429A-B106-10071F770F88}" name="Study Name" dataDxfId="344"/>
    <tableColumn id="11" xr3:uid="{A7B3BCB5-4CA7-47DC-90C2-9737F39C4784}" name="Study Sponsor" dataDxfId="343"/>
    <tableColumn id="12" xr3:uid="{1A28A6FA-BECD-4E0C-97EC-097A90AB4595}" name="Study CRO" dataDxfId="342"/>
    <tableColumn id="13" xr3:uid="{BDE3F8E5-FC27-4DAB-B793-A5713B6A05CB}" name="Age Range" dataDxfId="341"/>
    <tableColumn id="114" xr3:uid="{C3A7D0BB-FBFB-4222-A5F2-E44B2DBBE12D}" name="Study Details - Reminder Comments" dataDxfId="340"/>
    <tableColumn id="14" xr3:uid="{C5F3DA46-F052-48BE-94E3-59FE83081C77}" name="Study Details - Date Entry Last Updated" dataDxfId="339"/>
    <tableColumn id="15" xr3:uid="{903EEA94-3205-4F60-B1EA-1A80730E5B85}" name="Study Details - User who Last Updated Entry" dataDxfId="338"/>
    <tableColumn id="16" xr3:uid="{F5215BDF-02E1-45F9-88DD-0714639FAD8A}" name="Date CDA Received from Sponsor" dataDxfId="337"/>
    <tableColumn id="17" xr3:uid="{A8829C95-7D06-40EF-A721-FE939DC97EB9}" name="Date CDA sent to Contracts" dataDxfId="336"/>
    <tableColumn id="18" xr3:uid="{D859B066-7B5B-43EA-AD34-13EDE3C8CA7D}" name="Date CDA received from Contracts" dataDxfId="335"/>
    <tableColumn id="115" xr3:uid="{DADD424C-6CA0-4B5C-8566-00FE2C6B71F4}" name="Date CDA Sent to Sponsor" dataDxfId="334"/>
    <tableColumn id="19" xr3:uid="{139AA284-7F13-43A5-935F-106F82F10E17}" name="Date CDA Finalised" dataDxfId="333"/>
    <tableColumn id="122" xr3:uid="{B1B5C73C-4C57-4744-B9FB-FC81708CCC79}" name="CDA - Reminder Comments" dataDxfId="332"/>
    <tableColumn id="123" xr3:uid="{02E5F42B-2B00-4720-8545-D242CBC48F48}" name="CDA - Date Entry Last Updated" dataDxfId="331"/>
    <tableColumn id="124" xr3:uid="{4E7B4A14-1BA5-413A-89F2-1142F6EA0975}" name="CDA - User who Last Updated Entry" dataDxfId="330"/>
    <tableColumn id="20" xr3:uid="{00B938A1-5FA0-4259-AB48-59245BD5B96B}" name="Date Feasibility Received" dataDxfId="329"/>
    <tableColumn id="21" xr3:uid="{377F9082-7AC6-481E-8D5E-847514CBFAE2}" name="Date Feasibility Completed" dataDxfId="328"/>
    <tableColumn id="22" xr3:uid="{47126869-0590-4768-961B-E71134854875}" name="Completed By" dataDxfId="327"/>
    <tableColumn id="23" xr3:uid="{C1B1A656-AD56-419F-A6BA-82410BA6FB72}" name="Feasibility - Reminder Comments" dataDxfId="326"/>
    <tableColumn id="24" xr3:uid="{3298FCE0-DF1B-4163-AF5E-5856EF6A5797}" name="Feasibility - Date Entry Last Updated" dataDxfId="325"/>
    <tableColumn id="25" xr3:uid="{2A63CCD3-6A71-4165-B717-934BB9CEA00F}" name="Feasibility - User who Last Updated Entry" dataDxfId="324"/>
    <tableColumn id="26" xr3:uid="{AE8576F6-6F3A-4F8C-82F8-AED30A298B2C}" name="Pre-study Visit Date" dataDxfId="323"/>
    <tableColumn id="27" xr3:uid="{2513F984-57FD-4F89-AEF5-B11AB763DCA5}" name="Pre-study Visit Type" dataDxfId="322"/>
    <tableColumn id="28" xr3:uid="{F5EECCEE-20EC-402D-9A57-09CEA2247FF1}" name="Validation Visit Date" dataDxfId="321"/>
    <tableColumn id="29" xr3:uid="{6EF2D96C-7E36-48AE-9EE7-ED8EC82EDFF4}" name="Validation Visit Type" dataDxfId="320"/>
    <tableColumn id="30" xr3:uid="{51E11A76-451B-46A4-85A8-09E968D8AF8A}" name="Site Selection Date" dataDxfId="319"/>
    <tableColumn id="31" xr3:uid="{0F2B93F0-E2A3-444D-BC1E-1BC3A281076D}" name="Site Select - Reminder Comments" dataDxfId="318"/>
    <tableColumn id="32" xr3:uid="{A933B59E-36EB-4313-8833-770EAACAC06D}" name="Site Select - Date Entry Last Updated" dataDxfId="317"/>
    <tableColumn id="33" xr3:uid="{D562D6DF-BA87-48CC-8834-4FFA44DE6888}" name="Site Select - User who Last Updated Entry" dataDxfId="316"/>
    <tableColumn id="34" xr3:uid="{C024650E-D2B9-4914-AA95-97023111AD29}" name="Date of Planning Meeting" dataDxfId="315"/>
    <tableColumn id="36" xr3:uid="{74B76F35-6293-4966-8F03-9D16F8EE9633}" name="Recruitment - Reminder Comments" dataDxfId="314"/>
    <tableColumn id="37" xr3:uid="{459708C4-D1D4-40EF-A8A8-F079E3916192}" name="Recruitment - Date Entry Last Updated" dataDxfId="313"/>
    <tableColumn id="38" xr3:uid="{442EA66B-AAF5-4117-A5E1-21F93B6A6967}" name="Recruitment - User who Last Updated Entry" dataDxfId="312"/>
    <tableColumn id="39" xr3:uid="{9964B3C8-3D02-46EB-BDED-26C767EB4AC3}" name="CAHS  Ethics Review - Date Submitted" dataDxfId="311"/>
    <tableColumn id="40" xr3:uid="{26247281-2CB3-4883-AE24-B79420FC7AEE}" name="CAHS Ethics Review - Date Responded" dataDxfId="310"/>
    <tableColumn id="41" xr3:uid="{1EDE9511-F7C5-4A34-8867-BA0BF688A7AC}" name="CAHS Ethics Review - Date Resubmitted" dataDxfId="309"/>
    <tableColumn id="42" xr3:uid="{44AA9C42-401C-49EC-B29A-4A0D4296D637}" name="CAHS Ethics Review - Date Approved" dataDxfId="308"/>
    <tableColumn id="144" xr3:uid="{9BDA9C3D-23A1-4808-90C2-ADFCE1862D66}" name="CAHS Ethics Review - Reminder Comments" dataDxfId="307"/>
    <tableColumn id="43" xr3:uid="{798082B2-B03E-4B46-9A56-738B3B0F5E5A}" name="NMA Ethics Review - Ethics Committee Name" dataDxfId="306"/>
    <tableColumn id="44" xr3:uid="{2CB54EA0-B100-443E-B617-B4D691F38DCC}" name="NMA Ethics Review - Date Submitted" dataDxfId="305"/>
    <tableColumn id="45" xr3:uid="{F76C4994-5BC1-48EA-981A-39BD032C029E}" name="NMA Ethics Review - Date Approved" dataDxfId="304"/>
    <tableColumn id="145" xr3:uid="{33E02E59-C393-47A1-9C1D-95E2AD40AEDC}" name="NMA Ethics Review - Reminder Comments" dataDxfId="303"/>
    <tableColumn id="46" xr3:uid="{76E7AC61-E480-4261-A0AB-7E565019132E}" name="WNHS Ethics Review - Date Submitted" dataDxfId="302"/>
    <tableColumn id="47" xr3:uid="{86AF5B51-5617-486F-9B3A-57E302C39871}" name="WNHS Ethics Review - Date Approved" dataDxfId="301"/>
    <tableColumn id="146" xr3:uid="{BECCF7AC-666C-4193-BF7C-2FD2ECAA5FD3}" name="WNHS Ethics Review - Reminder Comments" dataDxfId="300"/>
    <tableColumn id="48" xr3:uid="{90FD63C9-46AA-40BA-9205-9E3460E0F3FE}" name="SJOG Ethics Review - Date Submitted" dataDxfId="299"/>
    <tableColumn id="49" xr3:uid="{31EE4506-BE3C-4091-B749-CD3ED9859A01}" name="SJOG Ethics Review - Date Approved" dataDxfId="298"/>
    <tableColumn id="147" xr3:uid="{5BFA60D1-902D-4F5A-8FF1-2CAC221A0E17}" name="SJOG Ethics Review - Reminder Comments" dataDxfId="297"/>
    <tableColumn id="50" xr3:uid="{BB79F0B0-58FA-41B6-A978-5F76858B4DA7}" name="Other Ethics Review - Ethics Committee Name" dataDxfId="296"/>
    <tableColumn id="51" xr3:uid="{F75D2536-4793-4BDC-BB7B-DA378B34C6B3}" name="Other Ethics Review - Date Submitted" dataDxfId="295"/>
    <tableColumn id="52" xr3:uid="{F769CB72-B86F-46DC-A286-CDCEBD740457}" name="Other Ethics Review - Date Approved" dataDxfId="294"/>
    <tableColumn id="148" xr3:uid="{288E50EF-D6AD-42DA-B55D-009E3FF77AEE}" name="Others Ethics Review - Reminder Comments" dataDxfId="293"/>
    <tableColumn id="54" xr3:uid="{C8C3DA21-4F24-49BB-912A-7D22EA189220}" name="Ethics - Date Entry Last Updated" dataDxfId="292"/>
    <tableColumn id="55" xr3:uid="{62C7921E-2056-435B-AB9B-E89ABF257981}" name="Ethics - User who Last Updated Entry" dataDxfId="291"/>
    <tableColumn id="56" xr3:uid="{0615EC98-9B6E-4944-A6FF-E88640C3193F}" name="PCH Gov. Review - Date Submitted" dataDxfId="290"/>
    <tableColumn id="57" xr3:uid="{D24239AB-E437-4E7F-A042-34905B1BC3B2}" name="PCH Gov. Review - Date Responded" dataDxfId="289"/>
    <tableColumn id="58" xr3:uid="{025D2BED-5811-407D-83F1-4D2039079103}" name="PCH Gov. Review - Date Approved" dataDxfId="288"/>
    <tableColumn id="149" xr3:uid="{FF16417D-5089-4AD5-B3F7-16462AA2F3E3}" name="PCH Gov. Review - Reminder Comments" dataDxfId="287"/>
    <tableColumn id="59" xr3:uid="{0A796D18-5B75-4C80-A92D-12A864CB9880}" name="TKI Gov. Review - Date Submitted" dataDxfId="286"/>
    <tableColumn id="60" xr3:uid="{4972A11A-0ED2-419B-8656-18ABCA58416C}" name="TKI Gov. Review - Date Responded" dataDxfId="285"/>
    <tableColumn id="61" xr3:uid="{88A687E1-8C73-413E-9601-62473B748106}" name="TKI Gov. Review - Date Approved" dataDxfId="284"/>
    <tableColumn id="150" xr3:uid="{9AD4C570-CC85-4B56-88C5-38A067CF6FE7}" name="TKI Gov. Review - Reminder Comments" dataDxfId="283"/>
    <tableColumn id="62" xr3:uid="{79F8CC08-2272-415D-BCF7-CF29FFB77D6B}" name="KEMH Gov. Review - Date Submitted" dataDxfId="282"/>
    <tableColumn id="63" xr3:uid="{3CB3BA88-D84A-48EA-B765-C3EEFF3AD46F}" name="KEMH Gov. Review - Date Responded" dataDxfId="281"/>
    <tableColumn id="64" xr3:uid="{4E3A6DA4-5C8C-4ED4-A9A0-ABFFE82391EB}" name="KEMH Gov. Review - Date Approved" dataDxfId="280"/>
    <tableColumn id="151" xr3:uid="{997B1773-B53E-434B-B0FD-D0B70B45AD75}" name="KEMH Gov. Review - Reminder Comments" dataDxfId="279"/>
    <tableColumn id="65" xr3:uid="{A443B807-D4EF-4494-BCF7-3B72E08694DC}" name="SJOG Subiaco Gov. Review - Date Submitted" dataDxfId="278"/>
    <tableColumn id="66" xr3:uid="{DD2922A4-7353-4C3E-9446-6B545F1B6A73}" name="SJOG Subiaco Gov. Review - Date Responded" dataDxfId="277"/>
    <tableColumn id="67" xr3:uid="{39EBD920-89C6-48C4-AA11-2202683C8421}" name="SJOG Subiaco Gov. Review - Date Approved" dataDxfId="276"/>
    <tableColumn id="152" xr3:uid="{9A235062-2CD0-4809-A067-C31DEEB8478C}" name="SJOG Subiaco Gov. Review - Reminder Comments" dataDxfId="275"/>
    <tableColumn id="68" xr3:uid="{630217EE-5B88-404C-A98D-66036539C9CF}" name="SJOG Mt Lawley Gov. Review - Date Submitted" dataDxfId="274"/>
    <tableColumn id="69" xr3:uid="{00123D1D-27B4-4B38-AE60-5BB9E8F89B05}" name="SJOG Mt Lawley Gov. Review - Date Responded" dataDxfId="273"/>
    <tableColumn id="70" xr3:uid="{BFB4ACA6-F32B-4157-A5AC-B4775E3641C4}" name="SJOG Mt Lawley Gov. Review - Date Approved" dataDxfId="272"/>
    <tableColumn id="153" xr3:uid="{A34B5CDD-7720-4799-9FC6-A3F07560FBAD}" name="SJOG Mt Lawley Gov. Review - Reminder Comments" dataDxfId="271"/>
    <tableColumn id="71" xr3:uid="{65824E65-5F62-40FF-B404-A77F41919759}" name="SJOG Murdoch Gov. Review - Date Submitted" dataDxfId="270"/>
    <tableColumn id="72" xr3:uid="{39B9CFDF-F020-40EE-9574-8F5E05CC59F5}" name="SJOG Murdoch Gov. Review - Date Responded" dataDxfId="269"/>
    <tableColumn id="73" xr3:uid="{79D673C6-9F43-4581-BADC-9143E00B486D}" name="SJOG Murdoch Gov. Review - Date Approved" dataDxfId="268"/>
    <tableColumn id="154" xr3:uid="{C64ECE7E-5D96-4D46-9EB3-0DA30C5B4782}" name="SJOG Murdoch Gov. Review - Reminder Comments" dataDxfId="267"/>
    <tableColumn id="74" xr3:uid="{6FCA8FAF-0DAB-4AD1-AAE4-304E922AFD9C}" name="Other Gov. Review - Governance Body" dataDxfId="266"/>
    <tableColumn id="75" xr3:uid="{6577E397-E046-4CE7-9285-A01130B0F798}" name="Other Gov. Review - Date Submitted" dataDxfId="265"/>
    <tableColumn id="76" xr3:uid="{58CB8C09-C7B6-4F45-BB52-CF8674AD811C}" name="Other Gov. Review - Date Responded" dataDxfId="264"/>
    <tableColumn id="77" xr3:uid="{D5C40437-C6D5-4D8D-B4CC-57B24B05A463}" name="Other Gov. Review - Date Approved" dataDxfId="263"/>
    <tableColumn id="155" xr3:uid="{AF2C1E44-101A-4660-AC4A-B6DA58F44F6A}" name="Others Gov. Review - Reminder Comments" dataDxfId="262"/>
    <tableColumn id="79" xr3:uid="{9A9461B3-2B66-4A3D-BF70-EB9B95DECD11}" name="Governance - Date Entry Last Updated" dataDxfId="261"/>
    <tableColumn id="80" xr3:uid="{626B8BE8-1541-4454-A8CE-47B0BD429392}" name="Governance - User who Last Updated Entry" dataDxfId="260"/>
    <tableColumn id="81" xr3:uid="{6B75C9B1-2352-42A5-82C3-B580E87FD170}" name="VTG Budget Review - Date Finalised" dataDxfId="259"/>
    <tableColumn id="82" xr3:uid="{75FFB480-BE64-4522-9C0F-57DD067606BB}" name="VTG Budget Review - Date Submitted to Finance" dataDxfId="258"/>
    <tableColumn id="83" xr3:uid="{68CA3BCD-DF78-40FA-8CF4-A445896AE8DA}" name="VTG Budget Review - Date Approved" dataDxfId="257"/>
    <tableColumn id="156" xr3:uid="{7EF262DA-5754-4863-A852-2F131616C45E}" name="VTG Budget Review - Reminder Comments" dataDxfId="256"/>
    <tableColumn id="84" xr3:uid="{8FFCDE2C-2733-42BB-A35B-D69164207B06}" name="TKI Budget Review - Date Approved" dataDxfId="255"/>
    <tableColumn id="157" xr3:uid="{0E648BCC-4A2D-4EC2-9879-3C367DB71226}" name="TKI Budget Review - Reminder Comments" dataDxfId="254"/>
    <tableColumn id="85" xr3:uid="{6AFD5E5C-93F2-4A4D-A7CB-AD5951CED9C8}" name="Pharmacy Budget Review - Date Quote Received" dataDxfId="253"/>
    <tableColumn id="86" xr3:uid="{A844F452-F561-4298-B42D-2C6B75451D2B}" name="Pharmacy Budget Review - Date PO Finalised" dataDxfId="252"/>
    <tableColumn id="158" xr3:uid="{D0607939-1828-48CB-B6AA-A112FFECFF24}" name="Pharmacy Budget Review - Reminder Comments" dataDxfId="251"/>
    <tableColumn id="88" xr3:uid="{9F78CF46-4D6F-4F2F-85F7-C44117D22BE2}" name="Budget - Date Entry Last Updated" dataDxfId="250"/>
    <tableColumn id="89" xr3:uid="{661FB2C1-04FC-4E59-8AC5-EA5880B60C62}" name="Budget - User who Last Updated Entry" dataDxfId="249"/>
    <tableColumn id="90" xr3:uid="{7D4600DF-25C0-477B-804F-C7731C44FAF0}" name="Indemnity Review - Date Received" dataDxfId="248"/>
    <tableColumn id="91" xr3:uid="{BBBBD697-C807-4E80-B22D-5AB877D128B9}" name="Indemnity Review - Date Sent to Contracts" dataDxfId="247"/>
    <tableColumn id="92" xr3:uid="{8D0E79C2-3325-4CF4-9795-4574111719D7}" name="Indemnity Review - Date Completed" dataDxfId="246"/>
    <tableColumn id="93" xr3:uid="{F78413AA-3BCC-4AFC-93E9-752DB0D6EE7F}" name="Indemnity - Reminder Comments" dataDxfId="245"/>
    <tableColumn id="94" xr3:uid="{FCF2F161-8C62-4199-A427-36C7423EC4D2}" name="Indemnity - Date Entry Last Updated" dataDxfId="244"/>
    <tableColumn id="95" xr3:uid="{B46611FA-EB79-4C3B-BFE5-40930639DD40}" name="Indemnity - User who Last Updated Entry" dataDxfId="243"/>
    <tableColumn id="96" xr3:uid="{8D1B4908-F483-49FE-91DB-1E1975636120}" name="CTRA - Date submitted to Research, Gov. &amp; Contracts" dataDxfId="242"/>
    <tableColumn id="97" xr3:uid="{562497F3-5849-45D8-AF12-2C1ED56732F1}" name="CTRA - Date of UWA Review" dataDxfId="241"/>
    <tableColumn id="98" xr3:uid="{BA1BB81E-4EF2-437A-9AD0-EC02033CC8F5}" name="CTRA - Date of Finance Review &amp; Approval" dataDxfId="240"/>
    <tableColumn id="99" xr3:uid="{2A96554F-29DD-42AB-A725-F4B6D4F90979}" name="CTRA - Date of COO / CFO sign-off" dataDxfId="239"/>
    <tableColumn id="100" xr3:uid="{22222C86-17E0-4549-BFE8-D7F10210EDC5}" name="CTRA - Date of VTG sign-off" dataDxfId="238"/>
    <tableColumn id="101" xr3:uid="{C797BCD9-1E56-4B88-ADAD-48FAAF88EF70}" name="CTRA - Date of submission to Company" dataDxfId="237"/>
    <tableColumn id="102" xr3:uid="{8A03AEAE-CEB4-42E9-8C7E-A7A974E85A39}" name="CTRA - Date Finalised" dataDxfId="236"/>
    <tableColumn id="103" xr3:uid="{585067F2-0DD8-4AC8-9958-7149C564015B}" name="CTRA - Reminder Comments" dataDxfId="235"/>
    <tableColumn id="104" xr3:uid="{91B30194-C36B-4490-B356-0BFF07DB46DB}" name="CTRA - Date Entry Last Updated" dataDxfId="234"/>
    <tableColumn id="105" xr3:uid="{7579B37E-01CB-44D3-8336-F43826DBAE1D}" name="CTRA - User who Last Updated Entry" dataDxfId="233"/>
    <tableColumn id="106" xr3:uid="{AB9F4B42-B713-4DF1-B852-3F96AB72776F}" name="Date Financial Disclosure Completed" dataDxfId="232"/>
    <tableColumn id="107" xr3:uid="{157206C9-8BC6-4229-A2E6-C6E94F204C07}" name="Fin. Disc. - Reminder Comments" dataDxfId="231"/>
    <tableColumn id="108" xr3:uid="{7531B9AB-7FE6-4349-AAD5-799FB1253501}" name="Fin. Disc. - Date Entry Last Updated" dataDxfId="230"/>
    <tableColumn id="109" xr3:uid="{7FA74446-EA0A-4529-8772-08A4EDF68C7F}" name="Fin. Disc. - User who Last Updated Entry" dataDxfId="229"/>
    <tableColumn id="110" xr3:uid="{DD9F3EB9-59A2-4EAF-A925-8F55ACD8417F}" name="Date of Site Initiation Visit" dataDxfId="228"/>
    <tableColumn id="111" xr3:uid="{6818FC6B-B8AD-4B1D-8844-94D5C2E53D03}" name="SIV - Reminder Comments" dataDxfId="227"/>
    <tableColumn id="112" xr3:uid="{DDD987A1-CA15-4B6D-817F-D4D84B94F758}" name="SIV - Date Entry Last Updated" dataDxfId="226"/>
    <tableColumn id="113" xr3:uid="{3E4DD0DD-9BDA-4CA8-8A38-D3205AB533E3}" name="SIV - User who Last Updated Entry" dataDxfId="225"/>
    <tableColumn id="116" xr3:uid="{7796515B-70C0-44B5-AC23-3B8D8118C024}" name="Study Details Complete" dataDxfId="224"/>
    <tableColumn id="117" xr3:uid="{9EEB8B23-A4CB-4351-BA34-28B875CA5BC9}" name="CDA Complete" dataDxfId="223"/>
    <tableColumn id="118" xr3:uid="{EEAF9685-FF58-4299-8AC9-70EAA41D7867}" name="FS Complete" dataDxfId="222"/>
    <tableColumn id="119" xr3:uid="{5A71745D-F91F-430E-85CB-6A3ADD0FB772}" name="Site Selection Complete" dataDxfId="221"/>
    <tableColumn id="120" xr3:uid="{51A43A1E-C977-4D5A-AB3B-B853BC3664B2}" name="Recruitment Complete" dataDxfId="220"/>
    <tableColumn id="125" xr3:uid="{5335C76C-7C49-4E93-8894-36BD0B1E9804}" name="Ethics - CAHS Complete" dataDxfId="219"/>
    <tableColumn id="126" xr3:uid="{6151F69C-D5F9-4128-A8E3-E444A31C4646}" name="Ethics - NMA Complete" dataDxfId="218"/>
    <tableColumn id="127" xr3:uid="{9815D2CB-7014-4939-A39D-D99E35ADF880}" name="Ethics - WNHS Complete" dataDxfId="217"/>
    <tableColumn id="128" xr3:uid="{C5816B87-1D9E-443D-B71D-EF2D56B064FF}" name="Ethics - SJOG Complete" dataDxfId="216"/>
    <tableColumn id="129" xr3:uid="{53DFFA91-EBD7-414F-B499-00141C01A736}" name="Ethics - Others Complete" dataDxfId="215"/>
    <tableColumn id="130" xr3:uid="{6DEF5359-846A-472E-944D-281B57926E62}" name="Gov - PCH Complete" dataDxfId="214"/>
    <tableColumn id="121" xr3:uid="{5BA4DB4D-271A-4BB3-94C9-A78D01150788}" name="Gov - TKI Complete" dataDxfId="213"/>
    <tableColumn id="131" xr3:uid="{C9A3CA08-C8A7-4291-92C9-705C74D485AD}" name="Gov - KEMH Complete" dataDxfId="212"/>
    <tableColumn id="132" xr3:uid="{873FD3D8-F030-49F1-A92C-6E32C445C899}" name="Gov - SJOG Subiaco Complete" dataDxfId="211"/>
    <tableColumn id="133" xr3:uid="{B8FF200A-00A6-4130-B768-491439CBFBE7}" name="Gov - SJOG Mt Lawley Complete" dataDxfId="210"/>
    <tableColumn id="134" xr3:uid="{13941F44-D716-4592-BC82-B255BE12E60C}" name="Gov - SJOG Murdoch Complete" dataDxfId="209"/>
    <tableColumn id="135" xr3:uid="{65C1857A-EC53-4A30-8B4D-8610A2522D10}" name="Gov - Others Complete" dataDxfId="208"/>
    <tableColumn id="136" xr3:uid="{E474FC60-EFC4-474D-9C31-CEF1A05FD126}" name="Budget - VTG Complete" dataDxfId="207"/>
    <tableColumn id="137" xr3:uid="{A1CA2D0C-A904-4071-916A-3EA32C06434B}" name="Budget - TKI Complete" dataDxfId="206"/>
    <tableColumn id="138" xr3:uid="{9906220F-039C-40DA-AA46-ECC109B914AD}" name="Budget - Pharmacy Complete" dataDxfId="205"/>
    <tableColumn id="139" xr3:uid="{A08FFA89-66DB-4DD3-BDF6-36DB93440443}" name="Indemnity Complete" dataDxfId="204"/>
    <tableColumn id="140" xr3:uid="{B66F3B52-4D1F-4A39-87B7-4E9740B05ACD}" name="CTRA Complete" dataDxfId="203"/>
    <tableColumn id="141" xr3:uid="{0F417A9F-84AB-492F-878B-EE38BA61D4C8}" name="Fin Disc Complete" dataDxfId="202"/>
    <tableColumn id="142" xr3:uid="{86AF2DD4-CDD5-49D8-99CF-C0B75D633343}" name="SIV Complete" dataDxfId="201"/>
    <tableColumn id="53" xr3:uid="{8B387D3A-A5E5-4E45-86F9-DE7899DB64F9}" name="Overall Ethics" dataDxfId="200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199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198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197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196">
      <calculatedColumnFormula>IFERROR(MATCH(FALSE,Register[[#This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7" totalsRowShown="0" headerRowDxfId="195" dataDxfId="194">
  <autoFilter ref="A8:AH17" xr:uid="{F456AC9D-7704-49A5-9205-9A7479E6BB27}"/>
  <sortState xmlns:xlrd2="http://schemas.microsoft.com/office/spreadsheetml/2017/richdata2" ref="A9:AH9">
    <sortCondition sortBy="cellColor" ref="H8:H9" dxfId="193"/>
  </sortState>
  <tableColumns count="34">
    <tableColumn id="1" xr3:uid="{029E10D2-95CB-4A6C-A47D-5641AC7A0055}" name="Study Status" dataDxfId="192"/>
    <tableColumn id="2" xr3:uid="{C49E588C-C4DE-45DE-88D5-8AC662409270}" name="Date Created" dataDxfId="191"/>
    <tableColumn id="4" xr3:uid="{831920DE-86BC-4898-81E1-AFFE932379B9}" name="Study Name" dataDxfId="190"/>
    <tableColumn id="3" xr3:uid="{C89F95A8-564E-4403-ADDA-D618383A4E30}" name="Date Last Updated" dataDxfId="189"/>
    <tableColumn id="5" xr3:uid="{DBB29CFB-ACDE-4E61-9041-3A6725ECBB27}" name="Protocol Number" dataDxfId="188"/>
    <tableColumn id="6" xr3:uid="{797AA5C8-8301-4F2C-B556-C53458E6016A}" name="Sponsor" dataDxfId="187"/>
    <tableColumn id="7" xr3:uid="{748046CD-22D1-4C98-8DE3-13B23900F208}" name="CRO" dataDxfId="186"/>
    <tableColumn id="8" xr3:uid="{38F62305-511B-4EAD-9BDD-0022F8DC6DAA}" name="Age Range / Reminder" dataDxfId="185"/>
    <tableColumn id="9" xr3:uid="{698728C0-A3C6-4D45-80A4-E160B8579B34}" name="CDA" dataDxfId="184"/>
    <tableColumn id="10" xr3:uid="{D7B7B8B1-BF7A-4A91-ADD1-2CB3C730B1C0}" name="Feasibility" dataDxfId="183"/>
    <tableColumn id="11" xr3:uid="{D85A0B2B-DDF0-4AC3-A45A-14BE5D41416C}" name="Site Selection" dataDxfId="182"/>
    <tableColumn id="12" xr3:uid="{A585822F-A959-43D7-A424-A352E75F0954}" name="Recruitment Plan" dataDxfId="181"/>
    <tableColumn id="13" xr3:uid="{A50841ED-F2DD-44DB-930B-FD81AB2D7F3A}" name="Overall Ethics Approval" dataDxfId="180"/>
    <tableColumn id="14" xr3:uid="{3672012C-48E1-419C-B55B-23BB64AE6630}" name="CAHS Ethics Approval" dataDxfId="179"/>
    <tableColumn id="15" xr3:uid="{70445A27-BE6C-46C3-840C-A0065A95B092}" name="NMA Ethics Approval" dataDxfId="178"/>
    <tableColumn id="16" xr3:uid="{7D837278-B6BA-4B88-9FC0-A216926910A6}" name="WNHS Ethics Approval" dataDxfId="177"/>
    <tableColumn id="17" xr3:uid="{BCF683F3-0404-4D41-B20B-A0B5568F1A71}" name="SJOG Ethics Approval" dataDxfId="176"/>
    <tableColumn id="18" xr3:uid="{D761C224-84DB-4A19-A5DE-A0FED02242EA}" name="Others Ethics Approval" dataDxfId="175"/>
    <tableColumn id="19" xr3:uid="{20837BA9-29D0-4811-9FB7-2D6B5D622895}" name="Overall Governance Approval" dataDxfId="174"/>
    <tableColumn id="20" xr3:uid="{EF20339A-2979-4A87-90D2-747954CEAB85}" name="PCH Governance Approval" dataDxfId="173"/>
    <tableColumn id="21" xr3:uid="{70B43F0F-6BCD-481B-AE6F-3FB8E581C9FC}" name="TKI Governance Approval" dataDxfId="172"/>
    <tableColumn id="22" xr3:uid="{3599AB99-9AB4-4B40-9179-C6A5293BDC33}" name="KEMH Governance Approval" dataDxfId="171"/>
    <tableColumn id="23" xr3:uid="{A6D56650-2AE0-4EFB-AFE1-C6E750A07789}" name="SJOG Subiaco Gov. Approval" dataDxfId="170"/>
    <tableColumn id="24" xr3:uid="{5D7B2183-EA74-4B58-97D5-37B39713E12B}" name="SJOG Mt Lawley Gov. Approval" dataDxfId="169"/>
    <tableColumn id="25" xr3:uid="{72FD141E-3D6C-4F9F-BB49-6E5C1486E59D}" name="SJOG Murdoch Gov. Approval" dataDxfId="168"/>
    <tableColumn id="26" xr3:uid="{87E41995-0250-481D-9B0B-127CB14DF101}" name="Others Governance Approval" dataDxfId="167"/>
    <tableColumn id="28" xr3:uid="{802E393F-5F08-438F-A004-2797CBDC916C}" name="Overall Budget Approval" dataDxfId="166"/>
    <tableColumn id="29" xr3:uid="{48942A0D-04A4-4AA4-B0FA-0BCC4794A86F}" name="VTG Budget Approval" dataDxfId="165"/>
    <tableColumn id="30" xr3:uid="{2BF2686A-593C-48E2-A4EC-5A543E823C91}" name="TKI Budget Approval" dataDxfId="164"/>
    <tableColumn id="31" xr3:uid="{E8F3A721-A4AD-4D0A-9090-CF01FFA27211}" name="Pharmacy Quotation" dataDxfId="163"/>
    <tableColumn id="27" xr3:uid="{05AF522F-6AC7-4443-89A1-48B670B86CEF}" name="Indemnity" dataDxfId="162"/>
    <tableColumn id="32" xr3:uid="{5AC8E1DB-6C96-4851-9276-8131F5D9D6B1}" name="CTRA" dataDxfId="161"/>
    <tableColumn id="33" xr3:uid="{F3FAABC5-44EB-456B-96CF-1558F99C073F}" name="Financial Disclosure" dataDxfId="160"/>
    <tableColumn id="34" xr3:uid="{71268665-458F-45C4-B8D1-01BF5A88F4CE}" name="SIV" dataDxfId="159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FA76B26-3E58-4D64-AD49-7B90D70AFE6C}" name="Register4" displayName="Register4" ref="D5:FD15" totalsRowShown="0" headerRowDxfId="158" dataDxfId="157">
  <tableColumns count="157">
    <tableColumn id="2" xr3:uid="{F7AC2750-25B0-4924-BA12-563F08125B9C}" name="Date Entry Created" dataDxfId="156"/>
    <tableColumn id="3" xr3:uid="{8BAC9C6D-BC13-4974-B1B8-C87DFB92D598}" name="User who Created Entry" dataDxfId="155"/>
    <tableColumn id="4" xr3:uid="{5395F030-512B-4B1A-B1E9-E17E9C8F6373}" name="Date Entry Deleted" dataDxfId="154"/>
    <tableColumn id="5" xr3:uid="{94EFE12A-EF9A-4CEC-9076-84DF61816ABE}" name="User who Deleted Entry" dataDxfId="153"/>
    <tableColumn id="6" xr3:uid="{5B3A0967-E518-440C-9B2A-827738912336}" name="Date Entry Last Accessed" dataDxfId="152"/>
    <tableColumn id="7" xr3:uid="{90E82606-D680-4979-8D05-9BF3CEA0EB81}" name="User who Last Accessed Entry" dataDxfId="151"/>
    <tableColumn id="8" xr3:uid="{F1AC9175-987D-4CC9-A5A9-822B197D341A}" name="Study Status" dataDxfId="150"/>
    <tableColumn id="9" xr3:uid="{1BF737A6-D521-4B14-844C-D2704828A711}" name="Protocol No." dataDxfId="149"/>
    <tableColumn id="10" xr3:uid="{78731958-95D6-4146-86AD-68D5D30E87D2}" name="Study Name" dataDxfId="148"/>
    <tableColumn id="11" xr3:uid="{06A2A61D-F310-4FF1-A8E0-217BF29E16BA}" name="Study Sponsor" dataDxfId="147"/>
    <tableColumn id="12" xr3:uid="{1344177C-A982-4138-8EC8-D27421079B53}" name="Study CRO" dataDxfId="146"/>
    <tableColumn id="13" xr3:uid="{45A36FB8-CCBD-489D-8696-AC649B31AC0A}" name="Age Range" dataDxfId="145"/>
    <tableColumn id="114" xr3:uid="{7CAAD93B-41E9-4AA4-9345-5E349D4198D9}" name="Study Details - Reminder Comments" dataDxfId="144"/>
    <tableColumn id="14" xr3:uid="{F91CECA4-B485-4B15-9DC6-41FA8E0F0B7C}" name="Study Details - Date Entry Last Updated" dataDxfId="143"/>
    <tableColumn id="15" xr3:uid="{62A08F1E-AAA8-47FE-A030-BC79CEA85048}" name="Study Details - User who Last Updated Entry" dataDxfId="142"/>
    <tableColumn id="16" xr3:uid="{2C5DF09D-817A-439A-A41B-71E3D7EAC070}" name="Date CDA Received from Sponsor" dataDxfId="141"/>
    <tableColumn id="17" xr3:uid="{697A9AF8-8679-4FAF-8064-7B78A298DE66}" name="Date CDA sent to Contracts" dataDxfId="140"/>
    <tableColumn id="18" xr3:uid="{C9F2A212-96D8-49DA-9E59-12B3123E94EC}" name="Date CDA received from Contracts" dataDxfId="139"/>
    <tableColumn id="115" xr3:uid="{AFF74111-57D0-494F-A560-4FB69FC3AD0D}" name="Date CDA Sent to Sponsor" dataDxfId="138"/>
    <tableColumn id="19" xr3:uid="{4F74F0F8-C913-4942-B185-498AA5EA824E}" name="Date CDA Finalised" dataDxfId="137"/>
    <tableColumn id="122" xr3:uid="{07408703-C9C6-4B8E-8990-EDC7AC46A60E}" name="CDA - Reminder Comments" dataDxfId="136"/>
    <tableColumn id="123" xr3:uid="{61C0D184-141C-46EA-BA7E-DB75A43F04BB}" name="CDA - Date Entry Last Updated" dataDxfId="135"/>
    <tableColumn id="124" xr3:uid="{FFF68F93-8B5F-4465-9AEA-B14FA64997F6}" name="CDA - User who Last Updated Entry" dataDxfId="134"/>
    <tableColumn id="20" xr3:uid="{93029B8E-7CC5-4FF7-83CD-BF6FBC854EF8}" name="Date Feasibility Received" dataDxfId="133"/>
    <tableColumn id="21" xr3:uid="{D0E6B133-1183-40FB-A110-29B46C6261F2}" name="Date Feasibility Completed" dataDxfId="132"/>
    <tableColumn id="22" xr3:uid="{C680E215-66FC-4BA4-B602-A5838C3F8417}" name="Completed By" dataDxfId="131"/>
    <tableColumn id="23" xr3:uid="{76C0DE72-B974-45E7-A6C6-0B2956437D38}" name="Feasibility - Reminder Comments" dataDxfId="130"/>
    <tableColumn id="24" xr3:uid="{399AC6D9-59C9-4D67-BBA2-E7419DDDA05A}" name="Feasibility - Date Entry Last Updated" dataDxfId="129"/>
    <tableColumn id="25" xr3:uid="{BC0C566A-845D-4170-8D23-28AB1C04C8E2}" name="Feasibility - User who Last Updated Entry" dataDxfId="128"/>
    <tableColumn id="26" xr3:uid="{905ABE90-756A-484C-A5F9-3627BE2F862D}" name="Pre-study Visit Date" dataDxfId="127"/>
    <tableColumn id="27" xr3:uid="{6DF4A260-CAE9-456F-98CE-52A12CBB65B6}" name="Pre-study Visit Type" dataDxfId="126"/>
    <tableColumn id="28" xr3:uid="{34B8539A-92D4-40E5-8309-A3A32F098426}" name="Validation Visit Date" dataDxfId="125"/>
    <tableColumn id="29" xr3:uid="{0F8DD015-BC96-4F25-B964-0641E33722CF}" name="Validation Visit Type" dataDxfId="124"/>
    <tableColumn id="30" xr3:uid="{77765FCC-47EB-4FD6-8988-FAB2035CA248}" name="Site Selection Date" dataDxfId="123"/>
    <tableColumn id="31" xr3:uid="{1538B533-F379-478E-867A-B4681943836D}" name="Site Select - Reminder Comments" dataDxfId="122"/>
    <tableColumn id="32" xr3:uid="{85F7C022-3D7C-4548-973E-558658035E86}" name="Site Select - Date Entry Last Updated" dataDxfId="121"/>
    <tableColumn id="33" xr3:uid="{F3149246-163F-48A4-9E6C-C0796E63EA78}" name="Site Select - User who Last Updated Entry" dataDxfId="120"/>
    <tableColumn id="34" xr3:uid="{A44A9205-24E8-47D1-ACBB-54787AAAB4DB}" name="Date of Planning Meeting" dataDxfId="119"/>
    <tableColumn id="36" xr3:uid="{FB3B2608-93A0-4893-AEDA-74AF294F49E1}" name="Recruitment - Reminder Comments" dataDxfId="118"/>
    <tableColumn id="37" xr3:uid="{79EB3EAC-3262-43A0-9ED0-F570C53A231E}" name="Recruitment - Date Entry Last Updated" dataDxfId="117"/>
    <tableColumn id="38" xr3:uid="{91DE4987-6BA2-4DC0-B50A-DDE7A5AF0725}" name="Recruitment - User who Last Updated Entry" dataDxfId="116"/>
    <tableColumn id="39" xr3:uid="{83B3EC86-2F80-423E-8CF5-436BCEF117B2}" name="CAHS  Ethics Review - Date Submitted" dataDxfId="115"/>
    <tableColumn id="40" xr3:uid="{99A83965-AF57-4934-BB80-79F83B9C2031}" name="CAHS Ethics Review - Date Responded" dataDxfId="114"/>
    <tableColumn id="41" xr3:uid="{661EA183-05FA-481A-AD84-5F42E5117370}" name="CAHS Ethics Review - Date Resubmitted" dataDxfId="113"/>
    <tableColumn id="42" xr3:uid="{B38E97CB-8823-46FF-8880-068DDC3C8459}" name="CAHS Ethics Review - Date Approved" dataDxfId="112"/>
    <tableColumn id="144" xr3:uid="{936AEA2F-CDBC-4732-838B-C888C10FA77B}" name="CAHS Ethics Review - Reminder Comments" dataDxfId="111"/>
    <tableColumn id="43" xr3:uid="{303BD400-B4DD-425B-BB55-7E93349C8E69}" name="NMA Ethics Review - Ethics Committee Name" dataDxfId="110"/>
    <tableColumn id="44" xr3:uid="{C47F3AAB-FC08-4681-839A-B11E7DDD62EC}" name="NMA Ethics Review - Date Submitted" dataDxfId="109"/>
    <tableColumn id="45" xr3:uid="{68AD27FB-2C73-486D-A839-13983A287DF8}" name="NMA Ethics Review - Date Approved" dataDxfId="108"/>
    <tableColumn id="145" xr3:uid="{D63E27E2-6727-46BE-90AC-263940208E4A}" name="NMA Ethics Review - Reminder Comments" dataDxfId="107"/>
    <tableColumn id="46" xr3:uid="{426AF7FD-AF00-499F-B26A-12FE8E829763}" name="WNHS Ethics Review - Date Submitted" dataDxfId="106"/>
    <tableColumn id="47" xr3:uid="{28D05C44-DF7A-4BA1-83F4-C429392BF79A}" name="WNHS Ethics Review - Date Approved" dataDxfId="105"/>
    <tableColumn id="146" xr3:uid="{CCCBC4B9-41EC-4330-8314-C0FA0C21327B}" name="WNHS Ethics Review - Reminder Comments" dataDxfId="104"/>
    <tableColumn id="48" xr3:uid="{BAF0F764-3911-4CE8-91DF-1E14FA012CCE}" name="SJOG Ethics Review - Date Submitted" dataDxfId="103"/>
    <tableColumn id="49" xr3:uid="{03DCF35C-81AD-4B9C-81E9-681EF87D0FF8}" name="SJOG Ethics Review - Date Approved" dataDxfId="102"/>
    <tableColumn id="147" xr3:uid="{A308E423-8E8A-47E2-828E-E8C17E361949}" name="SJOG Ethics Review - Reminder Comments" dataDxfId="101"/>
    <tableColumn id="50" xr3:uid="{2065F2FA-ED48-4BCB-BAB7-EB10CB094B3F}" name="Other Ethics Review - Ethics Committee Name" dataDxfId="100"/>
    <tableColumn id="51" xr3:uid="{12311292-B8E6-479D-A764-A24815960C4D}" name="Other Ethics Review - Date Submitted" dataDxfId="99"/>
    <tableColumn id="52" xr3:uid="{4BF7B40C-1A36-4377-9809-922EB670D08F}" name="Other Ethics Review - Date Approved" dataDxfId="98"/>
    <tableColumn id="148" xr3:uid="{8D4656CD-B60D-4166-A689-6D94F88277DB}" name="Others Ethics Review - Reminder Comments" dataDxfId="97"/>
    <tableColumn id="54" xr3:uid="{53DB331A-0B98-4B55-8641-FD57EC4BA983}" name="Ethics - Date Entry Last Updated" dataDxfId="96"/>
    <tableColumn id="55" xr3:uid="{4E0396A0-B6AF-40F0-B3FE-E82F06B7B263}" name="Ethics - User who Last Updated Entry" dataDxfId="95"/>
    <tableColumn id="56" xr3:uid="{BDB17CE5-7735-4955-AC92-0F6F85A497FB}" name="PCH Gov. Review - Date Submitted" dataDxfId="94"/>
    <tableColumn id="57" xr3:uid="{8823552E-853D-4AD0-9278-751E89687E6C}" name="PCH Gov. Review - Date Responded" dataDxfId="93"/>
    <tableColumn id="58" xr3:uid="{4563F107-EC45-4D93-BFE4-608775A23638}" name="PCH Gov. Review - Date Approved" dataDxfId="92"/>
    <tableColumn id="149" xr3:uid="{DBB2262C-306F-4A85-8ECE-85F9C537330D}" name="PCH Gov. Review - Reminder Comments" dataDxfId="91"/>
    <tableColumn id="59" xr3:uid="{4F8A8718-119C-4E27-AD6A-3F8BC7AF5605}" name="TKI Gov. Review - Date Submitted" dataDxfId="90"/>
    <tableColumn id="60" xr3:uid="{76A7C7A7-B4D6-40C2-98C3-2781DBD749B7}" name="TKI Gov. Review - Date Responded" dataDxfId="89"/>
    <tableColumn id="61" xr3:uid="{C69CFAC0-90B0-4048-8CD0-9A56D51B7D59}" name="TKI Gov. Review - Date Approved" dataDxfId="88"/>
    <tableColumn id="150" xr3:uid="{CF5D1653-FD72-4967-9C31-A62275AD397D}" name="TKI Gov. Review - Reminder Comments" dataDxfId="87"/>
    <tableColumn id="62" xr3:uid="{4EC8790E-BED0-426D-ADC8-15138C5A2AF3}" name="KEMH Gov. Review - Date Submitted" dataDxfId="86"/>
    <tableColumn id="63" xr3:uid="{F8795AA8-B276-420A-A215-4235EC41E47F}" name="KEMH Gov. Review - Date Responded" dataDxfId="85"/>
    <tableColumn id="64" xr3:uid="{64B0E867-DE96-4E3A-9C4C-601FC2C9D3A9}" name="KEMH Gov. Review - Date Approved" dataDxfId="84"/>
    <tableColumn id="151" xr3:uid="{5DEB3D2E-C7CF-472F-B4FB-E8CC99AF52C5}" name="KEMH Gov. Review - Reminder Comments" dataDxfId="83"/>
    <tableColumn id="65" xr3:uid="{B03025FF-DFFD-430F-80E8-EDF3843F8EA0}" name="SJOG Subiaco Gov. Review - Date Submitted" dataDxfId="82"/>
    <tableColumn id="66" xr3:uid="{25E866C4-7A16-43A1-8649-950AE2B9C203}" name="SJOG Subiaco Gov. Review - Date Responded" dataDxfId="81"/>
    <tableColumn id="67" xr3:uid="{B7B2DC3D-1F75-4F1D-9496-B2F57B9F296B}" name="SJOG Subiaco Gov. Review - Date Approved" dataDxfId="80"/>
    <tableColumn id="152" xr3:uid="{5645D820-3D42-4AB4-A70C-4E6DFBBAF982}" name="SJOG Subiaco Gov. Review - Reminder Comments" dataDxfId="79"/>
    <tableColumn id="68" xr3:uid="{6295660F-2320-4720-AFC2-C157B0C9B5A9}" name="SJOG Mt Lawley Gov. Review - Date Submitted" dataDxfId="78"/>
    <tableColumn id="69" xr3:uid="{8ACC93D1-CD27-463D-8FFB-AB19670C681F}" name="SJOG Mt Lawley Gov. Review - Date Responded" dataDxfId="77"/>
    <tableColumn id="70" xr3:uid="{ECF07BC4-CEBA-449C-B869-320B39A78659}" name="SJOG Mt Lawley Gov. Review - Date Approved" dataDxfId="76"/>
    <tableColumn id="153" xr3:uid="{B4307116-8FFC-4213-A80E-C6F393FA5245}" name="SJOG Mt Lawley Gov. Review - Reminder Comments" dataDxfId="75"/>
    <tableColumn id="71" xr3:uid="{DD770B9C-5ED5-4345-A486-FE2421A58E77}" name="SJOG Murdoch Gov. Review - Date Submitted" dataDxfId="74"/>
    <tableColumn id="72" xr3:uid="{5F7A1F3C-CEA5-452F-AA2C-E98C67CDB251}" name="SJOG Murdoch Gov. Review - Date Responded" dataDxfId="73"/>
    <tableColumn id="73" xr3:uid="{3EB9D892-4CDA-46BE-8E18-F2B7DEDBDE4D}" name="SJOG Murdoch Gov. Review - Date Approved" dataDxfId="72"/>
    <tableColumn id="154" xr3:uid="{1DCBB234-E84F-4394-AD2E-8F0C7A02BD42}" name="SJOG Murdoch Gov. Review - Reminder Comments" dataDxfId="71"/>
    <tableColumn id="74" xr3:uid="{10C63B45-484E-453C-9488-A5EE3533CC6D}" name="Other Gov. Review - Governance Body" dataDxfId="70"/>
    <tableColumn id="75" xr3:uid="{2F71C550-F3EF-4AB9-ADAA-89E0BDC23507}" name="Other Gov. Review - Date Submitted" dataDxfId="69"/>
    <tableColumn id="76" xr3:uid="{EFC28A48-2073-45DC-96B8-2B13B632606B}" name="Other Gov. Review - Date Responded" dataDxfId="68"/>
    <tableColumn id="77" xr3:uid="{94F3A1B6-206D-4484-B71D-6BB1EFA2C953}" name="Other Gov. Review - Date Approved" dataDxfId="67"/>
    <tableColumn id="155" xr3:uid="{A6DA23E3-5236-4BBD-A063-F39519A785AC}" name="Others Gov. Review - Reminder Comments" dataDxfId="66"/>
    <tableColumn id="79" xr3:uid="{25CC515D-64E7-44AF-8CF3-16C6747FEC7B}" name="Governance - Date Entry Last Updated" dataDxfId="65"/>
    <tableColumn id="80" xr3:uid="{9F8A0F26-A950-4BE7-94C2-DD76B4062533}" name="Governance - User who Last Updated Entry" dataDxfId="64"/>
    <tableColumn id="81" xr3:uid="{A6B388C6-EC19-4A0F-9C78-55108B5DF341}" name="VTG Budget Review - Date Finalised" dataDxfId="63"/>
    <tableColumn id="82" xr3:uid="{6467A81A-620B-4662-80C9-A8279969FF05}" name="VTG Budget Review - Date Submitted to Finance" dataDxfId="62"/>
    <tableColumn id="83" xr3:uid="{C1F40DB6-CF9C-4466-A720-D88BD977018E}" name="VTG Budget Review - Date Approved" dataDxfId="61"/>
    <tableColumn id="156" xr3:uid="{A9F15A84-83B6-4D28-9EEF-F8962A593465}" name="VTG Budget Review - Reminder Comments" dataDxfId="60"/>
    <tableColumn id="84" xr3:uid="{3A7B2A95-A063-48FE-AD4B-E35E6886D148}" name="TKI Budget Review - Date Approved" dataDxfId="59"/>
    <tableColumn id="157" xr3:uid="{F48A582E-69A6-4AFF-A517-0EAA7A7031D7}" name="TKI Budget Review - Reminder Comments" dataDxfId="58"/>
    <tableColumn id="85" xr3:uid="{FAD62B7C-459B-459D-B937-4DA1B6CC418A}" name="Pharmacy Budget Review - Date Quote Received" dataDxfId="57"/>
    <tableColumn id="86" xr3:uid="{E99AF071-EEF9-434C-8DFE-3CA1EFFEF50E}" name="Pharmacy Budget Review - Date PO Finalised" dataDxfId="56"/>
    <tableColumn id="158" xr3:uid="{CAAB8519-FC9A-49D3-9795-2B91EC38D0D8}" name="Pharmacy Budget Review - Reminder Comments" dataDxfId="55"/>
    <tableColumn id="88" xr3:uid="{2AE1A697-606E-4372-88FC-1B7C8D0C1DED}" name="Budget - Date Entry Last Updated" dataDxfId="54"/>
    <tableColumn id="89" xr3:uid="{DD5B1723-CF7C-454A-AF82-992DD0F0BB60}" name="Budget - User who Last Updated Entry" dataDxfId="53"/>
    <tableColumn id="90" xr3:uid="{8E9B1678-72A2-41A5-B70D-8749C0E5540D}" name="Indemnity Review - Date Received" dataDxfId="52"/>
    <tableColumn id="91" xr3:uid="{7FAC9836-FA44-4058-BF05-B8AAB5A0F052}" name="Indemnity Review - Date Sent to Contracts" dataDxfId="51"/>
    <tableColumn id="92" xr3:uid="{4CC31D13-7AF4-47ED-9600-46878AC4DBF2}" name="Indemnity Review - Date Completed" dataDxfId="50"/>
    <tableColumn id="93" xr3:uid="{5B7C7CA5-095E-40A5-B346-CCC19FB2F947}" name="Indemnity - Reminder Comments" dataDxfId="49"/>
    <tableColumn id="94" xr3:uid="{83E625FD-F4BF-4317-9017-F11FD3C9E50C}" name="Indemnity - Date Entry Last Updated" dataDxfId="48"/>
    <tableColumn id="95" xr3:uid="{715115C8-B44E-48BD-8EFB-A8233040D472}" name="Indemnity - User who Last Updated Entry" dataDxfId="47"/>
    <tableColumn id="96" xr3:uid="{2C215B65-904B-4459-9D55-4EAD4E6CF244}" name="CTRA - Date submitted to Research, Gov. &amp; Contracts" dataDxfId="46"/>
    <tableColumn id="97" xr3:uid="{223BC0EB-9734-47B1-AE03-3102BAB6748B}" name="CTRA - Date of UWA Review" dataDxfId="45"/>
    <tableColumn id="98" xr3:uid="{97143EEC-DF87-4FAE-BEDC-6EF33D2CD705}" name="CTRA - Date of Finance Review &amp; Approval" dataDxfId="44"/>
    <tableColumn id="99" xr3:uid="{6922B4A1-D187-47ED-A8D9-BD5CAFF9EC33}" name="CTRA - Date of COO / CFO sign-off" dataDxfId="43"/>
    <tableColumn id="100" xr3:uid="{E020A725-EEAD-42F8-8B41-F290F0233056}" name="CTRA - Date of VTG sign-off" dataDxfId="42"/>
    <tableColumn id="101" xr3:uid="{C8467759-A5BE-45BF-B778-F6C62891099E}" name="CTRA - Date of submission to Company" dataDxfId="41"/>
    <tableColumn id="102" xr3:uid="{BB42D64B-BCA6-403C-8DAB-AF225531CB4E}" name="CTRA - Date Finalised" dataDxfId="40"/>
    <tableColumn id="103" xr3:uid="{CEA00FF7-D5F4-4939-816E-D2A9B97A8892}" name="CTRA - Reminder Comments" dataDxfId="39"/>
    <tableColumn id="104" xr3:uid="{9AE76BCA-8F26-462B-974F-7BAB83237629}" name="CTRA - Date Entry Last Updated" dataDxfId="38"/>
    <tableColumn id="105" xr3:uid="{AAF4033D-207A-4103-8934-47B73EB242E7}" name="CTRA - User who Last Updated Entry" dataDxfId="37"/>
    <tableColumn id="106" xr3:uid="{3DB4FA9E-03DB-4018-AC84-3EE7A576CF97}" name="Date Financial Disclosure Completed" dataDxfId="36"/>
    <tableColumn id="107" xr3:uid="{E1E0B914-C2FE-4B22-9855-EEE928EB3727}" name="Fin. Disc. - Reminder Comments" dataDxfId="35"/>
    <tableColumn id="108" xr3:uid="{7BEF6054-210B-4384-A7EA-BB837CD6E360}" name="Fin. Disc. - Date Entry Last Updated" dataDxfId="34"/>
    <tableColumn id="109" xr3:uid="{06D458C2-158C-4970-B0C4-D9D65BFD6ED3}" name="Fin. Disc. - User who Last Updated Entry" dataDxfId="33"/>
    <tableColumn id="110" xr3:uid="{918457B5-C4F8-42E5-8DC1-6DE5B57113F9}" name="Date of Site Initiation Visit" dataDxfId="32"/>
    <tableColumn id="111" xr3:uid="{678EEF6C-DEC5-4380-B38D-5BC736DA3999}" name="SIV - Reminder Comments" dataDxfId="31"/>
    <tableColumn id="112" xr3:uid="{D3406182-DEA6-40AA-BB4E-82708D37A0A7}" name="SIV - Date Entry Last Updated" dataDxfId="30"/>
    <tableColumn id="113" xr3:uid="{68AF7135-0F81-464C-88D4-9271B71FA705}" name="SIV - User who Last Updated Entry" dataDxfId="29"/>
    <tableColumn id="116" xr3:uid="{1B450A0D-6796-4E7F-9165-E27322B52582}" name="Study Details Complete" dataDxfId="28"/>
    <tableColumn id="117" xr3:uid="{4907EFD9-B392-4704-907D-6106AEDF1FE2}" name="CDA Complete" dataDxfId="27"/>
    <tableColumn id="118" xr3:uid="{F7F5B25A-93F9-4F57-861E-38E8E4C4DE5E}" name="FS Complete" dataDxfId="26"/>
    <tableColumn id="119" xr3:uid="{32651CE3-BA10-44F7-872E-F03C0CE8BD4F}" name="Site Selection Complete" dataDxfId="25"/>
    <tableColumn id="120" xr3:uid="{D6AFC258-EC97-413F-BF1F-F2FCA3812AFE}" name="Recruitment Complete" dataDxfId="24"/>
    <tableColumn id="125" xr3:uid="{5685BD53-7BBF-4432-9FEB-2A4EB7CFE799}" name="Ethics - CAHS Complete" dataDxfId="23"/>
    <tableColumn id="126" xr3:uid="{A3E642F3-1665-42ED-BA11-449E03039D5C}" name="Ethics - NMA Complete" dataDxfId="22"/>
    <tableColumn id="127" xr3:uid="{DA2E3B51-20D9-4E8E-944C-9DB15593600B}" name="Ethics - WNHS Complete" dataDxfId="21"/>
    <tableColumn id="128" xr3:uid="{DCEFCD80-3872-4D9F-ACBF-9C8D935B35E2}" name="Ethics - SJOG Complete" dataDxfId="20"/>
    <tableColumn id="129" xr3:uid="{A8D8ED09-278C-4795-AF15-62942E0D1595}" name="Ethics - Others Complete" dataDxfId="19"/>
    <tableColumn id="130" xr3:uid="{C8DAD0CB-98D9-4C85-BEA3-47A69B48E221}" name="Gov - PCH Complete" dataDxfId="18"/>
    <tableColumn id="121" xr3:uid="{ADCB45FE-4FE7-4A23-A0B5-0F6F31B97E35}" name="Gov - TKI Complete" dataDxfId="17"/>
    <tableColumn id="131" xr3:uid="{2D16D697-026B-4D75-933A-F8476DE3A757}" name="Gov - KEMH Complete" dataDxfId="16"/>
    <tableColumn id="132" xr3:uid="{D86AB62E-CCC7-4AF7-9527-88EE872A0B78}" name="Gov - SJOG Subiaco Complete" dataDxfId="15"/>
    <tableColumn id="133" xr3:uid="{5D72BCE5-87E9-46B8-8582-A0FC65E44A9D}" name="Gov - SJOG Mt Lawley Complete" dataDxfId="14"/>
    <tableColumn id="134" xr3:uid="{7959BABB-B2D1-47E5-97E0-04898138B956}" name="Gov - SJOG Murdoch Complete" dataDxfId="13"/>
    <tableColumn id="135" xr3:uid="{B5EB6E50-6B90-4629-BE35-E2E46E6A201D}" name="Gov - Others Complete" dataDxfId="12"/>
    <tableColumn id="136" xr3:uid="{A3BC5DE6-5D78-4591-9488-3724144DD7E6}" name="Budget - VTG Complete" dataDxfId="11"/>
    <tableColumn id="137" xr3:uid="{8CD3ECD3-969A-4FA3-88A4-4E98F749F081}" name="Budget - TKI Complete" dataDxfId="10"/>
    <tableColumn id="138" xr3:uid="{4BBC9DEC-1E1F-4809-8365-A038C1F9799C}" name="Budget - Pharmacy Complete" dataDxfId="9"/>
    <tableColumn id="139" xr3:uid="{897E9A4A-1B0A-4429-AE27-A2CFD3DF3AEE}" name="Indemnity Complete" dataDxfId="8"/>
    <tableColumn id="140" xr3:uid="{F094B6F9-1A2B-4D3A-9F8C-F93651E3FF8D}" name="CTRA Complete" dataDxfId="7"/>
    <tableColumn id="141" xr3:uid="{CA78E07F-0C6B-42BE-9A2B-E13ACDDED0F4}" name="Fin Disc Complete" dataDxfId="6"/>
    <tableColumn id="142" xr3:uid="{1A749D05-C2B9-45AA-8FE2-F0B686374213}" name="SIV Complete" dataDxfId="5"/>
    <tableColumn id="53" xr3:uid="{BFA87F5B-6DBC-4AB6-9E97-393D0A34DEA0}" name="Overall Ethics" dataDxfId="4">
      <calculatedColumnFormula>IF(COUNTA(Register4[[#This Row],[Ethics - CAHS Complete]:[Ethics - Others Complete]])=0, "",IF(COUNTIF(Register4[[#This Row],[Ethics - CAHS Complete]:[Ethics - Others Complete]],TRUE)&gt;0,TRUE,FALSE))</calculatedColumnFormula>
    </tableColumn>
    <tableColumn id="35" xr3:uid="{B2457619-EFF0-44CA-A8A7-DB7DFA7409A5}" name="Overall Governance" dataDxfId="3">
      <calculatedColumnFormula>IF(COUNTA(Register4[[#This Row],[Gov - PCH Complete]:[Gov - Others Complete]])=0,"",IF(COUNTIF(Register4[[#This Row],[Gov - PCH Complete]:[Gov - Others Complete]],TRUE)&gt;0,TRUE,FALSE))</calculatedColumnFormula>
    </tableColumn>
    <tableColumn id="78" xr3:uid="{16F7CEE4-ED12-4D03-B49C-2C1EB39DA7C2}" name="Overall Budget" dataDxfId="2">
      <calculatedColumnFormula>IF(COUNTA(Register4[[#This Row],[Budget - VTG Complete]:[Budget - Pharmacy Complete]])=0,"",IF(COUNTIF(Register4[[#This Row],[Budget - VTG Complete]:[Budget - Pharmacy Complete]],TRUE)=3,TRUE,FALSE))</calculatedColumnFormula>
    </tableColumn>
    <tableColumn id="1" xr3:uid="{CBFC30ED-091C-4E1C-9BB3-9758CE841158}" name="Overall Study" dataDxfId="1">
      <calculatedColumnFormula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calculatedColumnFormula>
    </tableColumn>
    <tableColumn id="143" xr3:uid="{A5F9B33B-C500-4E2D-A1D0-E51A078D0512}" name="Fast Cycle Location" dataDxfId="0">
      <calculatedColumnFormula>IFERROR(MATCH(FALSE,Register4[[#This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2:FD21"/>
  <sheetViews>
    <sheetView tabSelected="1" zoomScaleNormal="100" workbookViewId="0">
      <pane xSplit="9" ySplit="5" topLeftCell="J6" activePane="bottomRight" state="frozen"/>
      <selection pane="topRight" activeCell="J1" sqref="J1"/>
      <selection pane="bottomLeft" activeCell="A6" sqref="A6"/>
      <selection pane="bottomRight" activeCell="J3" sqref="J3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2" spans="4:160" x14ac:dyDescent="0.25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25">
      <c r="D4" s="50" t="s">
        <v>79</v>
      </c>
      <c r="E4" s="50"/>
      <c r="F4" s="51" t="s">
        <v>11</v>
      </c>
      <c r="G4" s="51"/>
      <c r="H4" s="49" t="s">
        <v>10</v>
      </c>
      <c r="I4" s="49"/>
      <c r="J4" s="3"/>
      <c r="K4" s="52" t="s">
        <v>12</v>
      </c>
      <c r="L4" s="52"/>
      <c r="M4" s="52"/>
      <c r="N4" s="52"/>
      <c r="O4" s="52"/>
      <c r="P4" s="16"/>
      <c r="Q4" s="49" t="s">
        <v>181</v>
      </c>
      <c r="R4" s="49"/>
      <c r="S4" s="3"/>
      <c r="T4" s="3"/>
      <c r="U4" s="3"/>
      <c r="V4" s="3"/>
      <c r="W4" s="3"/>
      <c r="X4" s="3"/>
      <c r="Y4" s="49" t="s">
        <v>180</v>
      </c>
      <c r="Z4" s="49"/>
      <c r="AA4" s="3"/>
      <c r="AB4" s="3"/>
      <c r="AC4" s="3"/>
      <c r="AD4" s="3"/>
      <c r="AE4" s="49" t="s">
        <v>188</v>
      </c>
      <c r="AF4" s="49"/>
      <c r="AM4" s="49" t="s">
        <v>195</v>
      </c>
      <c r="AN4" s="49"/>
      <c r="AQ4" s="49" t="s">
        <v>202</v>
      </c>
      <c r="AR4" s="49"/>
      <c r="BL4" s="49" t="s">
        <v>203</v>
      </c>
      <c r="BM4" s="49"/>
      <c r="CQ4" s="49" t="s">
        <v>221</v>
      </c>
      <c r="CR4" s="49"/>
      <c r="DB4" s="49" t="s">
        <v>224</v>
      </c>
      <c r="DC4" s="49"/>
      <c r="DH4" s="49" t="s">
        <v>230</v>
      </c>
      <c r="DI4" s="49"/>
      <c r="DR4" s="49" t="s">
        <v>231</v>
      </c>
      <c r="DS4" s="49"/>
      <c r="DV4" s="49" t="s">
        <v>237</v>
      </c>
      <c r="DW4" s="49"/>
      <c r="DZ4" s="49" t="s">
        <v>239</v>
      </c>
      <c r="EA4" s="49"/>
    </row>
    <row r="5" spans="4:160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268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270</v>
      </c>
      <c r="FA5" s="8" t="s">
        <v>271</v>
      </c>
      <c r="FB5" s="8" t="s">
        <v>273</v>
      </c>
      <c r="FC5" s="8" t="s">
        <v>272</v>
      </c>
      <c r="FD5" s="8" t="s">
        <v>144</v>
      </c>
    </row>
    <row r="6" spans="4:160" x14ac:dyDescent="0.25">
      <c r="D6" s="5">
        <v>44452.372048611112</v>
      </c>
      <c r="E6" s="6" t="s">
        <v>87</v>
      </c>
      <c r="F6" s="5"/>
      <c r="G6" s="6"/>
      <c r="H6" s="5">
        <v>44468.847951388889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44467.047962962963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 t="str">
        <f>IF(COUNTA(Register4[[#This Row],[Ethics - CAHS Complete]:[Ethics - Others Complete]])=0, "",IF(COUNTIF(Register4[[#This Row],[Ethics - CAHS Complete]:[Ethics - Others Complete]],TRUE)&gt;0,TRUE,FALSE))</f>
        <v/>
      </c>
      <c r="FA6" s="6" t="str">
        <f>IF(COUNTA(Register4[[#This Row],[Gov - PCH Complete]:[Gov - Others Complete]])=0,"",IF(COUNTIF(Register4[[#This Row],[Gov - PCH Complete]:[Gov - Others Complete]],TRUE)&gt;0,TRUE,FALSE))</f>
        <v/>
      </c>
      <c r="FB6" s="6" t="str">
        <f>IF(COUNTA(Register4[[#This Row],[Budget - VTG Complete]:[Budget - Pharmacy Complete]])=0,"",IF(COUNTIF(Register4[[#This Row],[Budget - VTG Complete]:[Budget - Pharmacy Complete]],TRUE)=3,TRUE,FALSE))</f>
        <v/>
      </c>
      <c r="FC6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6" s="6">
        <f>IFERROR(MATCH(FALSE,Register4[[#This Row],[Study Details Complete]:[SIV Complete]],0),1)</f>
        <v>1</v>
      </c>
    </row>
    <row r="7" spans="4:160" x14ac:dyDescent="0.25">
      <c r="D7" s="5">
        <v>44452.374467592592</v>
      </c>
      <c r="E7" s="6" t="s">
        <v>87</v>
      </c>
      <c r="F7" s="5"/>
      <c r="G7" s="6"/>
      <c r="H7" s="5">
        <v>44468.516423611109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44466.997627314813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 t="str">
        <f>IF(COUNTA(Register4[[#This Row],[Ethics - CAHS Complete]:[Ethics - Others Complete]])=0, "",IF(COUNTIF(Register4[[#This Row],[Ethics - CAHS Complete]:[Ethics - Others Complete]],TRUE)&gt;0,TRUE,FALSE))</f>
        <v/>
      </c>
      <c r="FA7" s="6" t="str">
        <f>IF(COUNTA(Register4[[#This Row],[Gov - PCH Complete]:[Gov - Others Complete]])=0,"",IF(COUNTIF(Register4[[#This Row],[Gov - PCH Complete]:[Gov - Others Complete]],TRUE)&gt;0,TRUE,FALSE))</f>
        <v/>
      </c>
      <c r="FB7" s="6" t="str">
        <f>IF(COUNTA(Register4[[#This Row],[Budget - VTG Complete]:[Budget - Pharmacy Complete]])=0,"",IF(COUNTIF(Register4[[#This Row],[Budget - VTG Complete]:[Budget - Pharmacy Complete]],TRUE)=3,TRUE,FALSE))</f>
        <v/>
      </c>
      <c r="FC7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7" s="6">
        <f>IFERROR(MATCH(FALSE,Register4[[#This Row],[Study Details Complete]:[SIV Complete]],0),1)</f>
        <v>1</v>
      </c>
    </row>
    <row r="8" spans="4:160" x14ac:dyDescent="0.25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 t="str">
        <f>IF(COUNTA(Register4[[#This Row],[Ethics - CAHS Complete]:[Ethics - Others Complete]])=0, "",IF(COUNTIF(Register4[[#This Row],[Ethics - CAHS Complete]:[Ethics - Others Complete]],TRUE)&gt;0,TRUE,FALSE))</f>
        <v/>
      </c>
      <c r="FA8" s="6" t="str">
        <f>IF(COUNTA(Register4[[#This Row],[Gov - PCH Complete]:[Gov - Others Complete]])=0,"",IF(COUNTIF(Register4[[#This Row],[Gov - PCH Complete]:[Gov - Others Complete]],TRUE)&gt;0,TRUE,FALSE))</f>
        <v/>
      </c>
      <c r="FB8" s="6" t="str">
        <f>IF(COUNTA(Register4[[#This Row],[Budget - VTG Complete]:[Budget - Pharmacy Complete]])=0,"",IF(COUNTIF(Register4[[#This Row],[Budget - VTG Complete]:[Budget - Pharmacy Complete]],TRUE)=3,TRUE,FALSE))</f>
        <v/>
      </c>
      <c r="FC8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8" s="6">
        <f>IFERROR(MATCH(FALSE,Register4[[#This Row],[Study Details Complete]:[SIV Complete]],0),1)</f>
        <v>1</v>
      </c>
    </row>
    <row r="9" spans="4:160" x14ac:dyDescent="0.25">
      <c r="D9" s="5">
        <v>44452.376064814816</v>
      </c>
      <c r="E9" s="6" t="s">
        <v>87</v>
      </c>
      <c r="F9" s="5"/>
      <c r="G9" s="6"/>
      <c r="H9" s="5">
        <v>44468.516412037039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44466.971712962964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 t="str">
        <f>IF(COUNTA(Register4[[#This Row],[Ethics - CAHS Complete]:[Ethics - Others Complete]])=0, "",IF(COUNTIF(Register4[[#This Row],[Ethics - CAHS Complete]:[Ethics - Others Complete]],TRUE)&gt;0,TRUE,FALSE))</f>
        <v/>
      </c>
      <c r="FA9" s="6" t="str">
        <f>IF(COUNTA(Register4[[#This Row],[Gov - PCH Complete]:[Gov - Others Complete]])=0,"",IF(COUNTIF(Register4[[#This Row],[Gov - PCH Complete]:[Gov - Others Complete]],TRUE)&gt;0,TRUE,FALSE))</f>
        <v/>
      </c>
      <c r="FB9" s="6" t="str">
        <f>IF(COUNTA(Register4[[#This Row],[Budget - VTG Complete]:[Budget - Pharmacy Complete]])=0,"",IF(COUNTIF(Register4[[#This Row],[Budget - VTG Complete]:[Budget - Pharmacy Complete]],TRUE)=3,TRUE,FALSE))</f>
        <v/>
      </c>
      <c r="FC9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9" s="6">
        <f>IFERROR(MATCH(FALSE,Register4[[#This Row],[Study Details Complete]:[SIV Complete]],0),1)</f>
        <v>1</v>
      </c>
    </row>
    <row r="10" spans="4:160" x14ac:dyDescent="0.25">
      <c r="D10" s="5">
        <v>44452.376736111109</v>
      </c>
      <c r="E10" s="6" t="s">
        <v>87</v>
      </c>
      <c r="F10" s="5"/>
      <c r="G10" s="6"/>
      <c r="H10" s="5">
        <v>44467.005740740744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44466.971736111111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 t="str">
        <f>IF(COUNTA(Register4[[#This Row],[Ethics - CAHS Complete]:[Ethics - Others Complete]])=0, "",IF(COUNTIF(Register4[[#This Row],[Ethics - CAHS Complete]:[Ethics - Others Complete]],TRUE)&gt;0,TRUE,FALSE))</f>
        <v/>
      </c>
      <c r="FA10" s="6" t="str">
        <f>IF(COUNTA(Register4[[#This Row],[Gov - PCH Complete]:[Gov - Others Complete]])=0,"",IF(COUNTIF(Register4[[#This Row],[Gov - PCH Complete]:[Gov - Others Complete]],TRUE)&gt;0,TRUE,FALSE))</f>
        <v/>
      </c>
      <c r="FB10" s="6" t="str">
        <f>IF(COUNTA(Register4[[#This Row],[Budget - VTG Complete]:[Budget - Pharmacy Complete]])=0,"",IF(COUNTIF(Register4[[#This Row],[Budget - VTG Complete]:[Budget - Pharmacy Complete]],TRUE)=3,TRUE,FALSE))</f>
        <v/>
      </c>
      <c r="FC10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0" s="6">
        <f>IFERROR(MATCH(FALSE,Register4[[#This Row],[Study Details Complete]:[SIV Complete]],0),1)</f>
        <v>1</v>
      </c>
    </row>
    <row r="11" spans="4:160" x14ac:dyDescent="0.25">
      <c r="D11" s="5">
        <v>44452.377106481479</v>
      </c>
      <c r="E11" s="6" t="s">
        <v>87</v>
      </c>
      <c r="F11" s="5"/>
      <c r="G11" s="6"/>
      <c r="H11" s="5">
        <v>44467.007199074076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44466.971770833334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 t="str">
        <f>IF(COUNTA(Register4[[#This Row],[Ethics - CAHS Complete]:[Ethics - Others Complete]])=0, "",IF(COUNTIF(Register4[[#This Row],[Ethics - CAHS Complete]:[Ethics - Others Complete]],TRUE)&gt;0,TRUE,FALSE))</f>
        <v/>
      </c>
      <c r="FA11" s="6" t="str">
        <f>IF(COUNTA(Register4[[#This Row],[Gov - PCH Complete]:[Gov - Others Complete]])=0,"",IF(COUNTIF(Register4[[#This Row],[Gov - PCH Complete]:[Gov - Others Complete]],TRUE)&gt;0,TRUE,FALSE))</f>
        <v/>
      </c>
      <c r="FB11" s="6" t="str">
        <f>IF(COUNTA(Register4[[#This Row],[Budget - VTG Complete]:[Budget - Pharmacy Complete]])=0,"",IF(COUNTIF(Register4[[#This Row],[Budget - VTG Complete]:[Budget - Pharmacy Complete]],TRUE)=3,TRUE,FALSE))</f>
        <v/>
      </c>
      <c r="FC11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1" s="6">
        <f>IFERROR(MATCH(FALSE,Register4[[#This Row],[Study Details Complete]:[SIV Complete]],0),1)</f>
        <v>1</v>
      </c>
    </row>
    <row r="12" spans="4:160" x14ac:dyDescent="0.25">
      <c r="D12" s="5">
        <v>44452.381851851853</v>
      </c>
      <c r="E12" s="6" t="s">
        <v>87</v>
      </c>
      <c r="F12" s="5"/>
      <c r="G12" s="6"/>
      <c r="H12" s="5">
        <v>44468.294178240743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44468.29047453704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6" t="b">
        <f>IF(COUNTA(Register4[[#This Row],[Ethics - CAHS Complete]:[Ethics - Others Complete]])=0, "",IF(COUNTIF(Register4[[#This Row],[Ethics - CAHS Complete]:[Ethics - Others Complete]],TRUE)&gt;0,TRUE,FALSE))</f>
        <v>1</v>
      </c>
      <c r="FA12" s="6" t="b">
        <f>IF(COUNTA(Register4[[#This Row],[Gov - PCH Complete]:[Gov - Others Complete]])=0,"",IF(COUNTIF(Register4[[#This Row],[Gov - PCH Complete]:[Gov - Others Complete]],TRUE)&gt;0,TRUE,FALSE))</f>
        <v>1</v>
      </c>
      <c r="FB12" s="6" t="b">
        <f>IF(COUNTA(Register4[[#This Row],[Budget - VTG Complete]:[Budget - Pharmacy Complete]])=0,"",IF(COUNTIF(Register4[[#This Row],[Budget - VTG Complete]:[Budget - Pharmacy Complete]],TRUE)=3,TRUE,FALSE))</f>
        <v>1</v>
      </c>
      <c r="FC12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2" s="6">
        <f>IFERROR(MATCH(FALSE,Register4[[#This Row],[Study Details Complete]:[SIV Complete]],0),1)</f>
        <v>1</v>
      </c>
    </row>
    <row r="13" spans="4:160" x14ac:dyDescent="0.25">
      <c r="D13" s="5">
        <v>44463.083506944444</v>
      </c>
      <c r="E13" s="6" t="s">
        <v>87</v>
      </c>
      <c r="F13" s="5"/>
      <c r="G13" s="6"/>
      <c r="H13" s="5">
        <v>44468.294004629628</v>
      </c>
      <c r="I13" s="6" t="s">
        <v>87</v>
      </c>
      <c r="J13" s="4" t="s">
        <v>243</v>
      </c>
      <c r="K13" s="4"/>
      <c r="L13" s="4" t="s">
        <v>179</v>
      </c>
      <c r="M13" s="4"/>
      <c r="N13" s="4"/>
      <c r="O13" s="4"/>
      <c r="P13" s="7"/>
      <c r="Q13" s="5">
        <v>44467.004826388889</v>
      </c>
      <c r="R13" s="6" t="s">
        <v>87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>
        <v>43466</v>
      </c>
      <c r="DY13" s="6"/>
      <c r="DZ13" s="5">
        <v>44467.002546296295</v>
      </c>
      <c r="EA13" s="6" t="s">
        <v>87</v>
      </c>
      <c r="EB13" s="6" t="b">
        <v>0</v>
      </c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 t="b">
        <v>1</v>
      </c>
      <c r="EZ13" s="6" t="str">
        <f>IF(COUNTA(Register4[[#This Row],[Ethics - CAHS Complete]:[Ethics - Others Complete]])=0, "",IF(COUNTIF(Register4[[#This Row],[Ethics - CAHS Complete]:[Ethics - Others Complete]],TRUE)&gt;0,TRUE,FALSE))</f>
        <v/>
      </c>
      <c r="FA13" s="6" t="str">
        <f>IF(COUNTA(Register4[[#This Row],[Gov - PCH Complete]:[Gov - Others Complete]])=0,"",IF(COUNTIF(Register4[[#This Row],[Gov - PCH Complete]:[Gov - Others Complete]],TRUE)&gt;0,TRUE,FALSE))</f>
        <v/>
      </c>
      <c r="FB13" s="6" t="str">
        <f>IF(COUNTA(Register4[[#This Row],[Budget - VTG Complete]:[Budget - Pharmacy Complete]])=0,"",IF(COUNTIF(Register4[[#This Row],[Budget - VTG Complete]:[Budget - Pharmacy Complete]],TRUE)=3,TRUE,FALSE))</f>
        <v/>
      </c>
      <c r="FC13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3" s="15">
        <f>IFERROR(MATCH(FALSE,Register4[[#This Row],[Study Details Complete]:[SIV Complete]],0),1)</f>
        <v>1</v>
      </c>
    </row>
    <row r="14" spans="4:160" x14ac:dyDescent="0.25">
      <c r="D14" s="5">
        <v>44464.8440162037</v>
      </c>
      <c r="E14" s="6" t="s">
        <v>246</v>
      </c>
      <c r="F14" s="5"/>
      <c r="G14" s="6"/>
      <c r="H14" s="5">
        <v>44468.290439814817</v>
      </c>
      <c r="I14" s="6" t="s">
        <v>87</v>
      </c>
      <c r="J14" s="4" t="s">
        <v>285</v>
      </c>
      <c r="K14" s="4" t="s">
        <v>250</v>
      </c>
      <c r="L14" s="4" t="s">
        <v>247</v>
      </c>
      <c r="M14" s="4" t="s">
        <v>248</v>
      </c>
      <c r="N14" s="4" t="s">
        <v>251</v>
      </c>
      <c r="O14" s="42" t="s">
        <v>252</v>
      </c>
      <c r="P14" s="7"/>
      <c r="Q14" s="5">
        <v>44468.290439814817</v>
      </c>
      <c r="R14" s="6" t="s">
        <v>87</v>
      </c>
      <c r="S14" s="19">
        <v>43525</v>
      </c>
      <c r="T14" s="19">
        <v>43559</v>
      </c>
      <c r="U14" s="19">
        <v>43652</v>
      </c>
      <c r="V14" s="19">
        <v>43716</v>
      </c>
      <c r="W14" s="19">
        <v>43747</v>
      </c>
      <c r="X14" s="19"/>
      <c r="Y14" s="19">
        <v>44464.85328703704</v>
      </c>
      <c r="Z14" s="19" t="s">
        <v>246</v>
      </c>
      <c r="AA14" s="19">
        <v>43831</v>
      </c>
      <c r="AB14" s="19">
        <v>43863</v>
      </c>
      <c r="AC14" s="19" t="s">
        <v>249</v>
      </c>
      <c r="AD14" s="6"/>
      <c r="AE14" s="5">
        <v>44464.845289351855</v>
      </c>
      <c r="AF14" s="6" t="s">
        <v>246</v>
      </c>
      <c r="AG14" s="19">
        <v>43955</v>
      </c>
      <c r="AH14" s="4" t="s">
        <v>86</v>
      </c>
      <c r="AI14" s="19">
        <v>43972</v>
      </c>
      <c r="AJ14" s="4" t="s">
        <v>84</v>
      </c>
      <c r="AK14" s="19">
        <v>43988</v>
      </c>
      <c r="AL14" s="6"/>
      <c r="AM14" s="5">
        <v>44464.855138888888</v>
      </c>
      <c r="AN14" s="6" t="s">
        <v>246</v>
      </c>
      <c r="AO14" s="19">
        <v>43995</v>
      </c>
      <c r="AP14" s="6" t="s">
        <v>253</v>
      </c>
      <c r="AQ14" s="5">
        <v>44464.855162037034</v>
      </c>
      <c r="AR14" s="6" t="s">
        <v>246</v>
      </c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 t="s">
        <v>254</v>
      </c>
      <c r="BI14" s="19">
        <v>44002</v>
      </c>
      <c r="BJ14" s="19">
        <v>44007</v>
      </c>
      <c r="BK14" s="4"/>
      <c r="BL14" s="5">
        <v>44464.856006944443</v>
      </c>
      <c r="BM14" s="6" t="s">
        <v>246</v>
      </c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 t="s">
        <v>255</v>
      </c>
      <c r="CM14" s="19">
        <v>44013</v>
      </c>
      <c r="CN14" s="19">
        <v>44018</v>
      </c>
      <c r="CO14" s="19">
        <v>44022</v>
      </c>
      <c r="CP14" s="4"/>
      <c r="CQ14" s="5">
        <v>44464.856840277775</v>
      </c>
      <c r="CR14" s="6" t="s">
        <v>246</v>
      </c>
      <c r="CS14" s="19">
        <v>44025</v>
      </c>
      <c r="CT14" s="19">
        <v>44028</v>
      </c>
      <c r="CU14" s="19">
        <v>44032</v>
      </c>
      <c r="CV14" s="19"/>
      <c r="CW14" s="19">
        <v>44037</v>
      </c>
      <c r="CX14" s="19"/>
      <c r="CY14" s="19">
        <v>44043</v>
      </c>
      <c r="CZ14" s="19">
        <v>44047</v>
      </c>
      <c r="DA14" s="19"/>
      <c r="DB14" s="5">
        <v>44464.857905092591</v>
      </c>
      <c r="DC14" s="6" t="s">
        <v>246</v>
      </c>
      <c r="DD14" s="19">
        <v>44055</v>
      </c>
      <c r="DE14" s="19">
        <v>44058</v>
      </c>
      <c r="DF14" s="19">
        <v>44065</v>
      </c>
      <c r="DG14" s="6"/>
      <c r="DH14" s="5">
        <v>44464.85832175926</v>
      </c>
      <c r="DI14" s="6" t="s">
        <v>246</v>
      </c>
      <c r="DJ14" s="19">
        <v>44068</v>
      </c>
      <c r="DK14" s="19">
        <v>44070</v>
      </c>
      <c r="DL14" s="19">
        <v>44073</v>
      </c>
      <c r="DM14" s="19">
        <v>44075</v>
      </c>
      <c r="DN14" s="19">
        <v>44081</v>
      </c>
      <c r="DO14" s="19">
        <v>44083</v>
      </c>
      <c r="DP14" s="19">
        <v>44086</v>
      </c>
      <c r="DQ14" s="6"/>
      <c r="DR14" s="5">
        <v>44464.859189814815</v>
      </c>
      <c r="DS14" s="6" t="s">
        <v>246</v>
      </c>
      <c r="DT14" s="19">
        <v>44088</v>
      </c>
      <c r="DU14" s="6"/>
      <c r="DV14" s="5">
        <v>44464.859525462962</v>
      </c>
      <c r="DW14" s="6" t="s">
        <v>246</v>
      </c>
      <c r="DX14" s="19">
        <v>44094</v>
      </c>
      <c r="DY14" s="6"/>
      <c r="DZ14" s="5">
        <v>44464.8596875</v>
      </c>
      <c r="EA14" s="6" t="s">
        <v>246</v>
      </c>
      <c r="EB14" s="6" t="b">
        <v>1</v>
      </c>
      <c r="EC14" s="6" t="b">
        <v>1</v>
      </c>
      <c r="ED14" s="6" t="b">
        <v>1</v>
      </c>
      <c r="EE14" s="6" t="b">
        <v>1</v>
      </c>
      <c r="EF14" s="6" t="b">
        <v>1</v>
      </c>
      <c r="EG14" s="6"/>
      <c r="EH14" s="6"/>
      <c r="EI14" s="6"/>
      <c r="EJ14" s="6"/>
      <c r="EK14" s="6" t="b">
        <v>1</v>
      </c>
      <c r="EL14" s="6"/>
      <c r="EM14" s="6"/>
      <c r="EN14" s="6"/>
      <c r="EO14" s="6"/>
      <c r="EP14" s="6"/>
      <c r="EQ14" s="6"/>
      <c r="ER14" s="6" t="b">
        <v>1</v>
      </c>
      <c r="ES14" s="6" t="b">
        <v>1</v>
      </c>
      <c r="ET14" s="6" t="b">
        <v>1</v>
      </c>
      <c r="EU14" s="6" t="b">
        <v>1</v>
      </c>
      <c r="EV14" s="6" t="b">
        <v>1</v>
      </c>
      <c r="EW14" s="6" t="b">
        <v>1</v>
      </c>
      <c r="EX14" s="6" t="b">
        <v>1</v>
      </c>
      <c r="EY14" s="6" t="b">
        <v>1</v>
      </c>
      <c r="EZ14" s="6" t="b">
        <f>IF(COUNTA(Register4[[#This Row],[Ethics - CAHS Complete]:[Ethics - Others Complete]])=0, "",IF(COUNTIF(Register4[[#This Row],[Ethics - CAHS Complete]:[Ethics - Others Complete]],TRUE)&gt;0,TRUE,FALSE))</f>
        <v>1</v>
      </c>
      <c r="FA14" s="6" t="b">
        <f>IF(COUNTA(Register4[[#This Row],[Gov - PCH Complete]:[Gov - Others Complete]])=0,"",IF(COUNTIF(Register4[[#This Row],[Gov - PCH Complete]:[Gov - Others Complete]],TRUE)&gt;0,TRUE,FALSE))</f>
        <v>1</v>
      </c>
      <c r="FB14" s="6" t="b">
        <f>IF(COUNTA(Register4[[#This Row],[Budget - VTG Complete]:[Budget - Pharmacy Complete]])=0,"",IF(COUNTIF(Register4[[#This Row],[Budget - VTG Complete]:[Budget - Pharmacy Complete]],TRUE)=3,TRUE,FALSE))</f>
        <v>1</v>
      </c>
      <c r="FC14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4" s="15">
        <f>IFERROR(MATCH(FALSE,Register4[[#This Row],[Study Details Complete]:[SIV Complete]],0),1)</f>
        <v>1</v>
      </c>
    </row>
    <row r="15" spans="4:160" x14ac:dyDescent="0.25">
      <c r="D15" s="5">
        <v>44466.823842592596</v>
      </c>
      <c r="E15" s="6" t="s">
        <v>87</v>
      </c>
      <c r="F15" s="5"/>
      <c r="G15" s="6"/>
      <c r="H15" s="5">
        <v>44468.852233796293</v>
      </c>
      <c r="I15" s="6" t="s">
        <v>87</v>
      </c>
      <c r="J15" s="4" t="s">
        <v>243</v>
      </c>
      <c r="K15" s="4">
        <v>11</v>
      </c>
      <c r="L15" s="4" t="s">
        <v>287</v>
      </c>
      <c r="M15" s="4" t="s">
        <v>288</v>
      </c>
      <c r="N15" s="4" t="s">
        <v>288</v>
      </c>
      <c r="O15" s="42" t="s">
        <v>303</v>
      </c>
      <c r="P15" s="7" t="s">
        <v>294</v>
      </c>
      <c r="Q15" s="5">
        <v>44468.851354166669</v>
      </c>
      <c r="R15" s="6" t="s">
        <v>87</v>
      </c>
      <c r="S15" s="19">
        <v>43830</v>
      </c>
      <c r="T15" s="19">
        <v>43832</v>
      </c>
      <c r="U15" s="19">
        <v>43833</v>
      </c>
      <c r="V15" s="19">
        <v>43834</v>
      </c>
      <c r="W15" s="19">
        <v>43835</v>
      </c>
      <c r="X15" s="19" t="s">
        <v>293</v>
      </c>
      <c r="Y15" s="19">
        <v>44468.84642361111</v>
      </c>
      <c r="Z15" s="19" t="s">
        <v>87</v>
      </c>
      <c r="AA15" s="19">
        <v>43862</v>
      </c>
      <c r="AB15" s="19">
        <v>43866</v>
      </c>
      <c r="AC15" s="19" t="s">
        <v>291</v>
      </c>
      <c r="AD15" s="6" t="s">
        <v>292</v>
      </c>
      <c r="AE15" s="5">
        <v>44468.832013888888</v>
      </c>
      <c r="AF15" s="6" t="s">
        <v>87</v>
      </c>
      <c r="AG15" s="19">
        <v>43891</v>
      </c>
      <c r="AH15" s="4" t="s">
        <v>86</v>
      </c>
      <c r="AI15" s="19">
        <v>43921</v>
      </c>
      <c r="AJ15" s="4" t="s">
        <v>84</v>
      </c>
      <c r="AK15" s="19">
        <v>43926</v>
      </c>
      <c r="AL15" s="6" t="s">
        <v>295</v>
      </c>
      <c r="AM15" s="5">
        <v>44468.832129629627</v>
      </c>
      <c r="AN15" s="6" t="s">
        <v>87</v>
      </c>
      <c r="AO15" s="19">
        <v>43831</v>
      </c>
      <c r="AP15" s="6" t="s">
        <v>296</v>
      </c>
      <c r="AQ15" s="5">
        <v>44468.832268518519</v>
      </c>
      <c r="AR15" s="6" t="s">
        <v>87</v>
      </c>
      <c r="AS15" s="19">
        <v>43922</v>
      </c>
      <c r="AT15" s="19">
        <v>43923</v>
      </c>
      <c r="AU15" s="19">
        <v>43925</v>
      </c>
      <c r="AV15" s="19">
        <v>43926</v>
      </c>
      <c r="AW15" s="19" t="s">
        <v>297</v>
      </c>
      <c r="AX15" s="4"/>
      <c r="AY15" s="19"/>
      <c r="AZ15" s="19"/>
      <c r="BA15" s="19"/>
      <c r="BB15" s="19"/>
      <c r="BC15" s="19"/>
      <c r="BD15" s="19"/>
      <c r="BE15" s="19"/>
      <c r="BF15" s="4"/>
      <c r="BG15" s="4"/>
      <c r="BH15" s="4" t="s">
        <v>302</v>
      </c>
      <c r="BI15" s="19">
        <v>43831</v>
      </c>
      <c r="BJ15" s="19" t="s">
        <v>108</v>
      </c>
      <c r="BK15" s="4" t="s">
        <v>298</v>
      </c>
      <c r="BL15" s="5">
        <v>44468.832754629628</v>
      </c>
      <c r="BM15" s="6" t="s">
        <v>87</v>
      </c>
      <c r="BN15" s="19">
        <v>43983</v>
      </c>
      <c r="BO15" s="19">
        <v>43987</v>
      </c>
      <c r="BP15" s="19">
        <v>43991</v>
      </c>
      <c r="BQ15" s="19" t="s">
        <v>299</v>
      </c>
      <c r="BR15" s="4"/>
      <c r="BS15" s="4"/>
      <c r="BT15" s="19"/>
      <c r="BU15" s="19"/>
      <c r="BV15" s="4"/>
      <c r="BW15" s="4"/>
      <c r="BX15" s="4"/>
      <c r="BY15" s="4"/>
      <c r="BZ15" s="4"/>
      <c r="CA15" s="4"/>
      <c r="CB15" s="4"/>
      <c r="CC15" s="4"/>
      <c r="CD15" s="19">
        <v>44013</v>
      </c>
      <c r="CE15" s="4"/>
      <c r="CF15" s="4"/>
      <c r="CG15" s="4" t="s">
        <v>300</v>
      </c>
      <c r="CH15" s="4"/>
      <c r="CI15" s="4"/>
      <c r="CJ15" s="4"/>
      <c r="CK15" s="4"/>
      <c r="CL15" s="4"/>
      <c r="CM15" s="19"/>
      <c r="CN15" s="19"/>
      <c r="CO15" s="19"/>
      <c r="CP15" s="4"/>
      <c r="CQ15" s="5">
        <v>44468.833252314813</v>
      </c>
      <c r="CR15" s="6" t="s">
        <v>87</v>
      </c>
      <c r="CS15" s="19">
        <v>44013</v>
      </c>
      <c r="CT15" s="19">
        <v>44013</v>
      </c>
      <c r="CU15" s="19">
        <v>44044</v>
      </c>
      <c r="CV15" s="19" t="s">
        <v>304</v>
      </c>
      <c r="CW15" s="19"/>
      <c r="CX15" s="19"/>
      <c r="CY15" s="19"/>
      <c r="CZ15" s="19"/>
      <c r="DA15" s="19"/>
      <c r="DB15" s="5">
        <v>44468.846932870372</v>
      </c>
      <c r="DC15" s="6" t="s">
        <v>87</v>
      </c>
      <c r="DD15" s="19"/>
      <c r="DE15" s="19"/>
      <c r="DF15" s="19"/>
      <c r="DG15" s="6"/>
      <c r="DH15" s="5">
        <v>44468.462372685186</v>
      </c>
      <c r="DI15" s="6" t="s">
        <v>87</v>
      </c>
      <c r="DJ15" s="19">
        <v>43831</v>
      </c>
      <c r="DK15" s="19">
        <v>43952</v>
      </c>
      <c r="DL15" s="19">
        <v>44075</v>
      </c>
      <c r="DM15" s="19">
        <v>11111</v>
      </c>
      <c r="DN15" s="19"/>
      <c r="DO15" s="19"/>
      <c r="DP15" s="19"/>
      <c r="DQ15" s="6"/>
      <c r="DR15" s="5">
        <v>44468.852233796293</v>
      </c>
      <c r="DS15" s="6" t="s">
        <v>87</v>
      </c>
      <c r="DT15" s="19"/>
      <c r="DU15" s="6"/>
      <c r="DV15" s="5">
        <v>44468.46234953704</v>
      </c>
      <c r="DW15" s="6" t="s">
        <v>87</v>
      </c>
      <c r="DX15" s="19">
        <v>44572</v>
      </c>
      <c r="DY15" s="6" t="s">
        <v>301</v>
      </c>
      <c r="DZ15" s="5">
        <v>44468.517268518517</v>
      </c>
      <c r="EA15" s="6" t="s">
        <v>87</v>
      </c>
      <c r="EB15" s="15" t="b">
        <v>1</v>
      </c>
      <c r="EC15" s="15" t="b">
        <v>1</v>
      </c>
      <c r="ED15" s="15" t="b">
        <v>1</v>
      </c>
      <c r="EE15" s="15" t="b">
        <v>1</v>
      </c>
      <c r="EF15" s="15" t="b">
        <v>1</v>
      </c>
      <c r="EG15" s="15" t="b">
        <v>1</v>
      </c>
      <c r="EH15" s="6"/>
      <c r="EI15" s="6"/>
      <c r="EJ15" s="6"/>
      <c r="EK15" s="6" t="b">
        <v>0</v>
      </c>
      <c r="EL15" s="6" t="b">
        <v>1</v>
      </c>
      <c r="EM15" s="6"/>
      <c r="EN15" s="6"/>
      <c r="EO15" s="6"/>
      <c r="EP15" s="6" t="b">
        <v>0</v>
      </c>
      <c r="EQ15" s="6"/>
      <c r="ER15" s="6"/>
      <c r="ES15" s="6" t="b">
        <v>1</v>
      </c>
      <c r="ET15" s="6"/>
      <c r="EU15" s="6"/>
      <c r="EV15" s="6"/>
      <c r="EW15" s="6" t="b">
        <v>0</v>
      </c>
      <c r="EX15" s="6"/>
      <c r="EY15" s="6" t="b">
        <v>1</v>
      </c>
      <c r="EZ15" s="15" t="b">
        <f>IF(COUNTA(Register[[#This Row],[Ethics - CAHS Complete]:[Ethics - Others Complete]])=0, "",IF(COUNTIF(Register[[#This Row],[Ethics - CAHS Complete]:[Ethics - Others Complete]],TRUE)&gt;0,TRUE,FALSE))</f>
        <v>1</v>
      </c>
      <c r="FA15" s="6" t="b">
        <f>IF(COUNTA(Register[[#This Row],[Gov - PCH Complete]:[Gov - Others Complete]])=0,"",IF(COUNTIF(Register[[#This Row],[Gov - PCH Complete]:[Gov - Others Complete]],TRUE)&gt;0,TRUE,FALSE))</f>
        <v>1</v>
      </c>
      <c r="FB15" s="6" t="b">
        <f>IF(COUNTA(Register[[#This Row],[Budget - VTG Complete]:[Budget - Pharmacy Complete]])=0,"",IF(COUNTIF(Register[[#This Row],[Budget - VTG Complete]:[Budget - Pharmacy Complete]],TRUE)=3,TRUE,FALSE))</f>
        <v>0</v>
      </c>
      <c r="FC15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5" s="15">
        <f>IFERROR(MATCH(FALSE,Register[[#This Row],[Study Details Complete]:[SIV Complete]],0),1)</f>
        <v>10</v>
      </c>
    </row>
    <row r="16" spans="4:160" x14ac:dyDescent="0.25"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25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2" x14ac:dyDescent="0.25">
      <c r="J18" s="18"/>
      <c r="K18" s="18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45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</row>
    <row r="19" spans="10:132" x14ac:dyDescent="0.25">
      <c r="J19" s="17"/>
      <c r="K19" s="17"/>
    </row>
    <row r="20" spans="10:132" x14ac:dyDescent="0.25">
      <c r="J20" s="17"/>
      <c r="K20" s="17"/>
      <c r="M20" s="43"/>
    </row>
    <row r="21" spans="10:132" x14ac:dyDescent="0.25">
      <c r="EB21" s="44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7"/>
  <sheetViews>
    <sheetView workbookViewId="0">
      <pane xSplit="3" ySplit="8" topLeftCell="Z9" activePane="bottomRight" state="frozen"/>
      <selection pane="topRight" activeCell="D1" sqref="D1"/>
      <selection pane="bottomLeft" activeCell="A9" sqref="A9"/>
      <selection pane="bottomRight" activeCell="AC14" sqref="AC14"/>
    </sheetView>
  </sheetViews>
  <sheetFormatPr defaultRowHeight="15" x14ac:dyDescent="0.25"/>
  <cols>
    <col min="1" max="1" width="20.7109375" customWidth="1"/>
    <col min="2" max="2" width="18.7109375" customWidth="1"/>
    <col min="3" max="3" width="40.7109375" customWidth="1"/>
    <col min="4" max="4" width="20.7109375" customWidth="1"/>
    <col min="5" max="7" width="18.7109375" customWidth="1"/>
    <col min="8" max="9" width="32.7109375" customWidth="1"/>
    <col min="10" max="27" width="32.7109375" style="1" customWidth="1"/>
    <col min="28" max="28" width="32.7109375" customWidth="1"/>
    <col min="29" max="36" width="32.7109375" style="1" customWidth="1"/>
  </cols>
  <sheetData>
    <row r="1" spans="1:36" ht="18.75" x14ac:dyDescent="0.3">
      <c r="A1" s="46" t="s">
        <v>147</v>
      </c>
      <c r="C1" s="47" t="s">
        <v>284</v>
      </c>
      <c r="D1" s="20"/>
      <c r="I1" s="1"/>
      <c r="AB1" s="1"/>
      <c r="AI1"/>
      <c r="AJ1"/>
    </row>
    <row r="2" spans="1:36" x14ac:dyDescent="0.25">
      <c r="I2" s="1"/>
      <c r="AB2" s="1"/>
      <c r="AI2"/>
      <c r="AJ2"/>
    </row>
    <row r="3" spans="1:36" x14ac:dyDescent="0.25">
      <c r="A3" t="s">
        <v>274</v>
      </c>
      <c r="B3" s="21"/>
      <c r="I3" s="1"/>
      <c r="AB3" s="1"/>
      <c r="AI3"/>
      <c r="AJ3"/>
    </row>
    <row r="4" spans="1:36" x14ac:dyDescent="0.25">
      <c r="A4" t="s">
        <v>275</v>
      </c>
      <c r="B4" s="22"/>
      <c r="I4" s="1"/>
      <c r="AB4" s="1"/>
      <c r="AI4"/>
      <c r="AJ4"/>
    </row>
    <row r="5" spans="1:36" x14ac:dyDescent="0.25">
      <c r="D5" s="24"/>
      <c r="I5" s="1"/>
      <c r="AB5" s="1"/>
      <c r="AI5"/>
      <c r="AJ5"/>
    </row>
    <row r="6" spans="1:36" x14ac:dyDescent="0.25">
      <c r="A6">
        <v>1</v>
      </c>
      <c r="B6">
        <v>2</v>
      </c>
      <c r="C6">
        <v>4</v>
      </c>
      <c r="D6">
        <v>3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/>
      <c r="AJ6"/>
    </row>
    <row r="7" spans="1:36" ht="15" customHeight="1" x14ac:dyDescent="0.25">
      <c r="B7" s="23"/>
      <c r="D7" s="23"/>
      <c r="I7" s="1"/>
      <c r="AB7" s="1"/>
      <c r="AI7"/>
      <c r="AJ7"/>
    </row>
    <row r="8" spans="1:36" x14ac:dyDescent="0.25">
      <c r="A8" s="28" t="s">
        <v>2</v>
      </c>
      <c r="B8" s="30" t="s">
        <v>158</v>
      </c>
      <c r="C8" s="28" t="s">
        <v>0</v>
      </c>
      <c r="D8" s="31" t="s">
        <v>175</v>
      </c>
      <c r="E8" s="28" t="s">
        <v>149</v>
      </c>
      <c r="F8" s="28" t="s">
        <v>148</v>
      </c>
      <c r="G8" s="32" t="s">
        <v>112</v>
      </c>
      <c r="H8" s="28" t="s">
        <v>264</v>
      </c>
      <c r="I8" s="28" t="s">
        <v>150</v>
      </c>
      <c r="J8" s="28" t="s">
        <v>151</v>
      </c>
      <c r="K8" s="28" t="s">
        <v>152</v>
      </c>
      <c r="L8" s="29" t="s">
        <v>153</v>
      </c>
      <c r="M8" s="28" t="s">
        <v>174</v>
      </c>
      <c r="N8" s="28" t="s">
        <v>159</v>
      </c>
      <c r="O8" s="28" t="s">
        <v>160</v>
      </c>
      <c r="P8" s="28" t="s">
        <v>161</v>
      </c>
      <c r="Q8" s="28" t="s">
        <v>162</v>
      </c>
      <c r="R8" s="28" t="s">
        <v>163</v>
      </c>
      <c r="S8" s="28" t="s">
        <v>258</v>
      </c>
      <c r="T8" s="28" t="s">
        <v>164</v>
      </c>
      <c r="U8" s="28" t="s">
        <v>165</v>
      </c>
      <c r="V8" s="28" t="s">
        <v>166</v>
      </c>
      <c r="W8" s="28" t="s">
        <v>167</v>
      </c>
      <c r="X8" s="28" t="s">
        <v>168</v>
      </c>
      <c r="Y8" s="28" t="s">
        <v>169</v>
      </c>
      <c r="Z8" s="28" t="s">
        <v>170</v>
      </c>
      <c r="AA8" s="28" t="s">
        <v>259</v>
      </c>
      <c r="AB8" s="28" t="s">
        <v>171</v>
      </c>
      <c r="AC8" s="28" t="s">
        <v>172</v>
      </c>
      <c r="AD8" s="28" t="s">
        <v>173</v>
      </c>
      <c r="AE8" s="28" t="s">
        <v>154</v>
      </c>
      <c r="AF8" s="28" t="s">
        <v>155</v>
      </c>
      <c r="AG8" s="28" t="s">
        <v>156</v>
      </c>
      <c r="AH8" s="28" t="s">
        <v>157</v>
      </c>
      <c r="AI8"/>
      <c r="AJ8"/>
    </row>
    <row r="9" spans="1:36" s="38" customFormat="1" x14ac:dyDescent="0.25">
      <c r="A9" s="35" t="s">
        <v>243</v>
      </c>
      <c r="B9" s="36">
        <v>44452</v>
      </c>
      <c r="C9" s="26" t="s">
        <v>88</v>
      </c>
      <c r="D9" s="37">
        <v>44467.04791666667</v>
      </c>
      <c r="E9" s="33" t="s">
        <v>91</v>
      </c>
      <c r="F9" s="33" t="s">
        <v>89</v>
      </c>
      <c r="G9" s="33" t="s">
        <v>90</v>
      </c>
      <c r="H9" s="26" t="s">
        <v>92</v>
      </c>
      <c r="I9" s="26"/>
      <c r="J9" s="26"/>
      <c r="K9" s="26"/>
      <c r="L9" s="27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</row>
    <row r="10" spans="1:36" s="38" customFormat="1" ht="75" x14ac:dyDescent="0.25">
      <c r="A10" s="35" t="s">
        <v>243</v>
      </c>
      <c r="B10" s="36">
        <v>44452</v>
      </c>
      <c r="C10" s="26" t="s">
        <v>95</v>
      </c>
      <c r="D10" s="37">
        <v>44467.005555555559</v>
      </c>
      <c r="E10" s="33" t="s">
        <v>94</v>
      </c>
      <c r="F10" s="33" t="s">
        <v>96</v>
      </c>
      <c r="G10" s="33" t="s">
        <v>97</v>
      </c>
      <c r="H10" s="35" t="s">
        <v>263</v>
      </c>
      <c r="I10" s="26"/>
      <c r="J10" s="26"/>
      <c r="K10" s="26"/>
      <c r="L10" s="27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</row>
    <row r="11" spans="1:36" s="39" customFormat="1" x14ac:dyDescent="0.25">
      <c r="A11" s="35" t="s">
        <v>243</v>
      </c>
      <c r="B11" s="36">
        <v>44452</v>
      </c>
      <c r="C11" s="26" t="s">
        <v>103</v>
      </c>
      <c r="D11" s="37">
        <v>44467.005555555559</v>
      </c>
      <c r="E11" s="33" t="s">
        <v>102</v>
      </c>
      <c r="F11" s="33" t="s">
        <v>85</v>
      </c>
      <c r="G11" s="33" t="s">
        <v>101</v>
      </c>
      <c r="H11" s="27" t="s">
        <v>104</v>
      </c>
      <c r="I11" s="26"/>
      <c r="J11" s="26"/>
      <c r="K11" s="26"/>
      <c r="L11" s="27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</row>
    <row r="12" spans="1:36" s="25" customFormat="1" x14ac:dyDescent="0.25">
      <c r="A12" s="35" t="s">
        <v>243</v>
      </c>
      <c r="B12" s="36">
        <v>44452</v>
      </c>
      <c r="C12" s="26" t="s">
        <v>106</v>
      </c>
      <c r="D12" s="37">
        <v>44467.005555555559</v>
      </c>
      <c r="E12" s="33" t="s">
        <v>105</v>
      </c>
      <c r="F12" s="33" t="s">
        <v>85</v>
      </c>
      <c r="G12" s="35"/>
      <c r="H12" s="35"/>
      <c r="I12" s="26"/>
      <c r="J12" s="26"/>
      <c r="K12" s="26"/>
      <c r="L12" s="27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</row>
    <row r="13" spans="1:36" s="25" customFormat="1" x14ac:dyDescent="0.25">
      <c r="A13" s="35" t="s">
        <v>243</v>
      </c>
      <c r="B13" s="36">
        <v>44452</v>
      </c>
      <c r="C13" s="26" t="s">
        <v>107</v>
      </c>
      <c r="D13" s="37">
        <v>44467.006944444445</v>
      </c>
      <c r="E13" s="33" t="s">
        <v>105</v>
      </c>
      <c r="F13" s="33" t="s">
        <v>81</v>
      </c>
      <c r="G13" s="35"/>
      <c r="H13" s="35"/>
      <c r="I13" s="26"/>
      <c r="J13" s="26"/>
      <c r="K13" s="26"/>
      <c r="L13" s="27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</row>
    <row r="14" spans="1:36" s="25" customFormat="1" ht="120" x14ac:dyDescent="0.25">
      <c r="A14" s="35" t="s">
        <v>243</v>
      </c>
      <c r="B14" s="36">
        <v>44452</v>
      </c>
      <c r="C14" s="26" t="s">
        <v>111</v>
      </c>
      <c r="D14" s="37">
        <v>44467.007638888892</v>
      </c>
      <c r="E14" s="33" t="s">
        <v>110</v>
      </c>
      <c r="F14" s="33" t="s">
        <v>82</v>
      </c>
      <c r="G14" s="40" t="s">
        <v>112</v>
      </c>
      <c r="H14" s="27" t="s">
        <v>113</v>
      </c>
      <c r="I14" s="34" t="s">
        <v>178</v>
      </c>
      <c r="J14" s="34" t="s">
        <v>176</v>
      </c>
      <c r="K14" s="34" t="s">
        <v>177</v>
      </c>
      <c r="L14" s="34" t="s">
        <v>256</v>
      </c>
      <c r="M14" s="34" t="s">
        <v>257</v>
      </c>
      <c r="N14" s="34" t="s">
        <v>276</v>
      </c>
      <c r="O14" s="34" t="s">
        <v>261</v>
      </c>
      <c r="P14" s="34" t="s">
        <v>262</v>
      </c>
      <c r="Q14" s="26"/>
      <c r="R14" s="26"/>
      <c r="S14" s="34" t="s">
        <v>260</v>
      </c>
      <c r="T14" s="34" t="s">
        <v>265</v>
      </c>
      <c r="U14" s="34" t="s">
        <v>277</v>
      </c>
      <c r="V14" s="26"/>
      <c r="W14" s="26"/>
      <c r="X14" s="26"/>
      <c r="Y14" s="26"/>
      <c r="Z14" s="26"/>
      <c r="AA14" s="34" t="s">
        <v>269</v>
      </c>
      <c r="AB14" s="34" t="s">
        <v>278</v>
      </c>
      <c r="AC14" s="34" t="s">
        <v>266</v>
      </c>
      <c r="AD14" s="34" t="s">
        <v>267</v>
      </c>
      <c r="AE14" s="35" t="s">
        <v>283</v>
      </c>
      <c r="AF14" s="34" t="s">
        <v>279</v>
      </c>
      <c r="AG14" s="34" t="s">
        <v>280</v>
      </c>
      <c r="AH14" s="34" t="s">
        <v>281</v>
      </c>
    </row>
    <row r="15" spans="1:36" x14ac:dyDescent="0.25">
      <c r="A15" s="35" t="s">
        <v>243</v>
      </c>
      <c r="B15" s="36">
        <v>44463</v>
      </c>
      <c r="C15" s="26" t="s">
        <v>179</v>
      </c>
      <c r="D15" s="37">
        <v>44467.006944444445</v>
      </c>
      <c r="E15" s="35"/>
      <c r="F15" s="35"/>
      <c r="G15" s="35"/>
      <c r="H15" s="35"/>
      <c r="I15" s="27"/>
      <c r="J15" s="27"/>
      <c r="K15" s="27"/>
      <c r="L15" s="27"/>
      <c r="M15" s="27"/>
      <c r="N15" s="27"/>
      <c r="O15" s="27"/>
      <c r="P15" s="27"/>
      <c r="Q15" s="26"/>
      <c r="R15" s="26"/>
      <c r="S15" s="27"/>
      <c r="T15" s="27"/>
      <c r="U15" s="27"/>
      <c r="V15" s="26"/>
      <c r="W15" s="26"/>
      <c r="X15" s="26"/>
      <c r="Y15" s="26"/>
      <c r="Z15" s="26"/>
      <c r="AA15" s="27"/>
      <c r="AB15" s="27"/>
      <c r="AC15" s="27"/>
      <c r="AD15" s="27"/>
      <c r="AE15" s="27"/>
      <c r="AF15" s="27"/>
      <c r="AG15" s="27"/>
      <c r="AH15" s="34" t="s">
        <v>282</v>
      </c>
      <c r="AI15"/>
      <c r="AJ15"/>
    </row>
    <row r="16" spans="1:36" x14ac:dyDescent="0.25">
      <c r="A16" s="35" t="s">
        <v>243</v>
      </c>
      <c r="B16" s="36">
        <v>44464</v>
      </c>
      <c r="C16" s="26" t="s">
        <v>247</v>
      </c>
      <c r="D16" s="37">
        <v>44467.006944444445</v>
      </c>
      <c r="E16" s="40" t="s">
        <v>250</v>
      </c>
      <c r="F16" s="40" t="s">
        <v>248</v>
      </c>
      <c r="G16" s="40" t="s">
        <v>251</v>
      </c>
      <c r="H16" s="27" t="s">
        <v>252</v>
      </c>
      <c r="I16" s="27"/>
      <c r="J16" s="27"/>
      <c r="K16" s="27"/>
      <c r="L16" s="27"/>
      <c r="M16" s="27"/>
      <c r="N16" s="27"/>
      <c r="O16" s="27"/>
      <c r="P16" s="27"/>
      <c r="Q16" s="26"/>
      <c r="R16" s="26"/>
      <c r="S16" s="27"/>
      <c r="T16" s="27"/>
      <c r="U16" s="27"/>
      <c r="V16" s="26"/>
      <c r="W16" s="26"/>
      <c r="X16" s="26"/>
      <c r="Y16" s="26"/>
      <c r="Z16" s="26"/>
      <c r="AA16" s="27"/>
      <c r="AB16" s="27"/>
      <c r="AC16" s="27"/>
      <c r="AD16" s="27"/>
      <c r="AE16" s="27"/>
      <c r="AF16" s="27"/>
      <c r="AG16" s="27"/>
      <c r="AH16" s="27"/>
      <c r="AI16"/>
      <c r="AJ16"/>
    </row>
    <row r="17" spans="1:36" x14ac:dyDescent="0.25">
      <c r="A17" s="35" t="s">
        <v>243</v>
      </c>
      <c r="B17" s="36">
        <v>44466</v>
      </c>
      <c r="C17" s="26">
        <v>133</v>
      </c>
      <c r="D17" s="37">
        <v>44467.006944444445</v>
      </c>
      <c r="E17" s="35"/>
      <c r="F17" s="35"/>
      <c r="G17" s="35"/>
      <c r="H17" s="35"/>
      <c r="I17" s="27"/>
      <c r="J17" s="27"/>
      <c r="K17" s="27"/>
      <c r="L17" s="27"/>
      <c r="M17" s="27"/>
      <c r="N17" s="27"/>
      <c r="O17" s="27"/>
      <c r="P17" s="27"/>
      <c r="Q17" s="26"/>
      <c r="R17" s="26"/>
      <c r="S17" s="27"/>
      <c r="T17" s="27"/>
      <c r="U17" s="27"/>
      <c r="V17" s="26"/>
      <c r="W17" s="26"/>
      <c r="X17" s="26"/>
      <c r="Y17" s="26"/>
      <c r="Z17" s="26"/>
      <c r="AA17" s="27"/>
      <c r="AB17" s="27"/>
      <c r="AC17" s="27"/>
      <c r="AD17" s="27"/>
      <c r="AE17" s="27"/>
      <c r="AF17" s="27"/>
      <c r="AG17" s="27"/>
      <c r="AH17" s="27"/>
      <c r="AI17"/>
      <c r="AJ17"/>
    </row>
  </sheetData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8D145-BC2C-412D-BABB-9F5324F53AF6}">
  <sheetPr codeName="Sheet4">
    <tabColor rgb="FF92D050"/>
  </sheetPr>
  <dimension ref="D2:FD21"/>
  <sheetViews>
    <sheetView zoomScaleNormal="100" workbookViewId="0">
      <pane xSplit="9" ySplit="6" topLeftCell="J7" activePane="bottomRight" state="frozen"/>
      <selection pane="topRight" activeCell="J1" sqref="J1"/>
      <selection pane="bottomLeft" activeCell="A7" sqref="A7"/>
      <selection pane="bottomRight" activeCell="A6" sqref="A6:XFD15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2" spans="4:160" x14ac:dyDescent="0.25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25">
      <c r="D4" s="50" t="s">
        <v>79</v>
      </c>
      <c r="E4" s="50"/>
      <c r="F4" s="51" t="s">
        <v>11</v>
      </c>
      <c r="G4" s="51"/>
      <c r="H4" s="49" t="s">
        <v>10</v>
      </c>
      <c r="I4" s="49"/>
      <c r="J4" s="3"/>
      <c r="K4" s="52" t="s">
        <v>12</v>
      </c>
      <c r="L4" s="52"/>
      <c r="M4" s="52"/>
      <c r="N4" s="52"/>
      <c r="O4" s="52"/>
      <c r="P4" s="48"/>
      <c r="Q4" s="49" t="s">
        <v>181</v>
      </c>
      <c r="R4" s="49"/>
      <c r="S4" s="3"/>
      <c r="T4" s="3"/>
      <c r="U4" s="3"/>
      <c r="V4" s="3"/>
      <c r="W4" s="3"/>
      <c r="X4" s="3"/>
      <c r="Y4" s="49" t="s">
        <v>180</v>
      </c>
      <c r="Z4" s="49"/>
      <c r="AA4" s="3"/>
      <c r="AB4" s="3"/>
      <c r="AC4" s="3"/>
      <c r="AD4" s="3"/>
      <c r="AE4" s="49" t="s">
        <v>188</v>
      </c>
      <c r="AF4" s="49"/>
      <c r="AM4" s="49" t="s">
        <v>195</v>
      </c>
      <c r="AN4" s="49"/>
      <c r="AQ4" s="49" t="s">
        <v>202</v>
      </c>
      <c r="AR4" s="49"/>
      <c r="BL4" s="49" t="s">
        <v>203</v>
      </c>
      <c r="BM4" s="49"/>
      <c r="CQ4" s="49" t="s">
        <v>221</v>
      </c>
      <c r="CR4" s="49"/>
      <c r="DB4" s="49" t="s">
        <v>224</v>
      </c>
      <c r="DC4" s="49"/>
      <c r="DH4" s="49" t="s">
        <v>230</v>
      </c>
      <c r="DI4" s="49"/>
      <c r="DR4" s="49" t="s">
        <v>231</v>
      </c>
      <c r="DS4" s="49"/>
      <c r="DV4" s="49" t="s">
        <v>237</v>
      </c>
      <c r="DW4" s="49"/>
      <c r="DZ4" s="49" t="s">
        <v>239</v>
      </c>
      <c r="EA4" s="49"/>
    </row>
    <row r="5" spans="4:160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268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270</v>
      </c>
      <c r="FA5" s="8" t="s">
        <v>271</v>
      </c>
      <c r="FB5" s="8" t="s">
        <v>273</v>
      </c>
      <c r="FC5" s="8" t="s">
        <v>272</v>
      </c>
      <c r="FD5" s="8" t="s">
        <v>144</v>
      </c>
    </row>
    <row r="6" spans="4:160" x14ac:dyDescent="0.25">
      <c r="D6" s="5">
        <v>44452.372048611112</v>
      </c>
      <c r="E6" s="6" t="s">
        <v>87</v>
      </c>
      <c r="F6" s="5"/>
      <c r="G6" s="6"/>
      <c r="H6" s="5">
        <v>44468.462442129632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44467.047962962963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 t="str">
        <f>IF(COUNTA(Register4[[#This Row],[Ethics - CAHS Complete]:[Ethics - Others Complete]])=0, "",IF(COUNTIF(Register4[[#This Row],[Ethics - CAHS Complete]:[Ethics - Others Complete]],TRUE)&gt;0,TRUE,FALSE))</f>
        <v/>
      </c>
      <c r="FA6" s="6" t="str">
        <f>IF(COUNTA(Register4[[#This Row],[Gov - PCH Complete]:[Gov - Others Complete]])=0,"",IF(COUNTIF(Register4[[#This Row],[Gov - PCH Complete]:[Gov - Others Complete]],TRUE)&gt;0,TRUE,FALSE))</f>
        <v/>
      </c>
      <c r="FB6" s="6" t="str">
        <f>IF(COUNTA(Register4[[#This Row],[Budget - VTG Complete]:[Budget - Pharmacy Complete]])=0,"",IF(COUNTIF(Register4[[#This Row],[Budget - VTG Complete]:[Budget - Pharmacy Complete]],TRUE)=3,TRUE,FALSE))</f>
        <v/>
      </c>
      <c r="FC6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6" s="6">
        <f>IFERROR(MATCH(FALSE,Register4[[#This Row],[Study Details Complete]:[SIV Complete]],0),1)</f>
        <v>1</v>
      </c>
    </row>
    <row r="7" spans="4:160" x14ac:dyDescent="0.25">
      <c r="D7" s="5">
        <v>44452.374467592592</v>
      </c>
      <c r="E7" s="6" t="s">
        <v>87</v>
      </c>
      <c r="F7" s="5"/>
      <c r="G7" s="6"/>
      <c r="H7" s="5">
        <v>44467.005671296298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44466.997627314813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 t="str">
        <f>IF(COUNTA(Register4[[#This Row],[Ethics - CAHS Complete]:[Ethics - Others Complete]])=0, "",IF(COUNTIF(Register4[[#This Row],[Ethics - CAHS Complete]:[Ethics - Others Complete]],TRUE)&gt;0,TRUE,FALSE))</f>
        <v/>
      </c>
      <c r="FA7" s="6" t="str">
        <f>IF(COUNTA(Register4[[#This Row],[Gov - PCH Complete]:[Gov - Others Complete]])=0,"",IF(COUNTIF(Register4[[#This Row],[Gov - PCH Complete]:[Gov - Others Complete]],TRUE)&gt;0,TRUE,FALSE))</f>
        <v/>
      </c>
      <c r="FB7" s="6" t="str">
        <f>IF(COUNTA(Register4[[#This Row],[Budget - VTG Complete]:[Budget - Pharmacy Complete]])=0,"",IF(COUNTIF(Register4[[#This Row],[Budget - VTG Complete]:[Budget - Pharmacy Complete]],TRUE)=3,TRUE,FALSE))</f>
        <v/>
      </c>
      <c r="FC7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7" s="6">
        <f>IFERROR(MATCH(FALSE,Register4[[#This Row],[Study Details Complete]:[SIV Complete]],0),1)</f>
        <v>1</v>
      </c>
    </row>
    <row r="8" spans="4:160" x14ac:dyDescent="0.25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 t="str">
        <f>IF(COUNTA(Register4[[#This Row],[Ethics - CAHS Complete]:[Ethics - Others Complete]])=0, "",IF(COUNTIF(Register4[[#This Row],[Ethics - CAHS Complete]:[Ethics - Others Complete]],TRUE)&gt;0,TRUE,FALSE))</f>
        <v/>
      </c>
      <c r="FA8" s="6" t="str">
        <f>IF(COUNTA(Register4[[#This Row],[Gov - PCH Complete]:[Gov - Others Complete]])=0,"",IF(COUNTIF(Register4[[#This Row],[Gov - PCH Complete]:[Gov - Others Complete]],TRUE)&gt;0,TRUE,FALSE))</f>
        <v/>
      </c>
      <c r="FB8" s="6" t="str">
        <f>IF(COUNTA(Register4[[#This Row],[Budget - VTG Complete]:[Budget - Pharmacy Complete]])=0,"",IF(COUNTIF(Register4[[#This Row],[Budget - VTG Complete]:[Budget - Pharmacy Complete]],TRUE)=3,TRUE,FALSE))</f>
        <v/>
      </c>
      <c r="FC8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8" s="6">
        <f>IFERROR(MATCH(FALSE,Register4[[#This Row],[Study Details Complete]:[SIV Complete]],0),1)</f>
        <v>1</v>
      </c>
    </row>
    <row r="9" spans="4:160" x14ac:dyDescent="0.25">
      <c r="D9" s="5">
        <v>44452.376064814816</v>
      </c>
      <c r="E9" s="6" t="s">
        <v>87</v>
      </c>
      <c r="F9" s="5"/>
      <c r="G9" s="6"/>
      <c r="H9" s="5">
        <v>44467.005682870367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44466.971712962964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 t="str">
        <f>IF(COUNTA(Register4[[#This Row],[Ethics - CAHS Complete]:[Ethics - Others Complete]])=0, "",IF(COUNTIF(Register4[[#This Row],[Ethics - CAHS Complete]:[Ethics - Others Complete]],TRUE)&gt;0,TRUE,FALSE))</f>
        <v/>
      </c>
      <c r="FA9" s="6" t="str">
        <f>IF(COUNTA(Register4[[#This Row],[Gov - PCH Complete]:[Gov - Others Complete]])=0,"",IF(COUNTIF(Register4[[#This Row],[Gov - PCH Complete]:[Gov - Others Complete]],TRUE)&gt;0,TRUE,FALSE))</f>
        <v/>
      </c>
      <c r="FB9" s="6" t="str">
        <f>IF(COUNTA(Register4[[#This Row],[Budget - VTG Complete]:[Budget - Pharmacy Complete]])=0,"",IF(COUNTIF(Register4[[#This Row],[Budget - VTG Complete]:[Budget - Pharmacy Complete]],TRUE)=3,TRUE,FALSE))</f>
        <v/>
      </c>
      <c r="FC9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9" s="6">
        <f>IFERROR(MATCH(FALSE,Register4[[#This Row],[Study Details Complete]:[SIV Complete]],0),1)</f>
        <v>1</v>
      </c>
    </row>
    <row r="10" spans="4:160" x14ac:dyDescent="0.25">
      <c r="D10" s="5">
        <v>44452.376736111109</v>
      </c>
      <c r="E10" s="6" t="s">
        <v>87</v>
      </c>
      <c r="F10" s="5"/>
      <c r="G10" s="6"/>
      <c r="H10" s="5">
        <v>44467.005740740744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44466.971736111111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 t="str">
        <f>IF(COUNTA(Register4[[#This Row],[Ethics - CAHS Complete]:[Ethics - Others Complete]])=0, "",IF(COUNTIF(Register4[[#This Row],[Ethics - CAHS Complete]:[Ethics - Others Complete]],TRUE)&gt;0,TRUE,FALSE))</f>
        <v/>
      </c>
      <c r="FA10" s="6" t="str">
        <f>IF(COUNTA(Register4[[#This Row],[Gov - PCH Complete]:[Gov - Others Complete]])=0,"",IF(COUNTIF(Register4[[#This Row],[Gov - PCH Complete]:[Gov - Others Complete]],TRUE)&gt;0,TRUE,FALSE))</f>
        <v/>
      </c>
      <c r="FB10" s="6" t="str">
        <f>IF(COUNTA(Register4[[#This Row],[Budget - VTG Complete]:[Budget - Pharmacy Complete]])=0,"",IF(COUNTIF(Register4[[#This Row],[Budget - VTG Complete]:[Budget - Pharmacy Complete]],TRUE)=3,TRUE,FALSE))</f>
        <v/>
      </c>
      <c r="FC10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0" s="6">
        <f>IFERROR(MATCH(FALSE,Register4[[#This Row],[Study Details Complete]:[SIV Complete]],0),1)</f>
        <v>1</v>
      </c>
    </row>
    <row r="11" spans="4:160" x14ac:dyDescent="0.25">
      <c r="D11" s="5">
        <v>44452.377106481479</v>
      </c>
      <c r="E11" s="6" t="s">
        <v>87</v>
      </c>
      <c r="F11" s="5"/>
      <c r="G11" s="6"/>
      <c r="H11" s="5">
        <v>44467.007199074076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44466.971770833334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 t="str">
        <f>IF(COUNTA(Register4[[#This Row],[Ethics - CAHS Complete]:[Ethics - Others Complete]])=0, "",IF(COUNTIF(Register4[[#This Row],[Ethics - CAHS Complete]:[Ethics - Others Complete]],TRUE)&gt;0,TRUE,FALSE))</f>
        <v/>
      </c>
      <c r="FA11" s="6" t="str">
        <f>IF(COUNTA(Register4[[#This Row],[Gov - PCH Complete]:[Gov - Others Complete]])=0,"",IF(COUNTIF(Register4[[#This Row],[Gov - PCH Complete]:[Gov - Others Complete]],TRUE)&gt;0,TRUE,FALSE))</f>
        <v/>
      </c>
      <c r="FB11" s="6" t="str">
        <f>IF(COUNTA(Register4[[#This Row],[Budget - VTG Complete]:[Budget - Pharmacy Complete]])=0,"",IF(COUNTIF(Register4[[#This Row],[Budget - VTG Complete]:[Budget - Pharmacy Complete]],TRUE)=3,TRUE,FALSE))</f>
        <v/>
      </c>
      <c r="FC11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1" s="6">
        <f>IFERROR(MATCH(FALSE,Register4[[#This Row],[Study Details Complete]:[SIV Complete]],0),1)</f>
        <v>1</v>
      </c>
    </row>
    <row r="12" spans="4:160" x14ac:dyDescent="0.25">
      <c r="D12" s="5">
        <v>44452.381851851853</v>
      </c>
      <c r="E12" s="6" t="s">
        <v>87</v>
      </c>
      <c r="F12" s="5"/>
      <c r="G12" s="6"/>
      <c r="H12" s="5">
        <v>44468.294178240743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44468.29047453704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6" t="b">
        <f>IF(COUNTA(Register4[[#This Row],[Ethics - CAHS Complete]:[Ethics - Others Complete]])=0, "",IF(COUNTIF(Register4[[#This Row],[Ethics - CAHS Complete]:[Ethics - Others Complete]],TRUE)&gt;0,TRUE,FALSE))</f>
        <v>1</v>
      </c>
      <c r="FA12" s="6" t="b">
        <f>IF(COUNTA(Register4[[#This Row],[Gov - PCH Complete]:[Gov - Others Complete]])=0,"",IF(COUNTIF(Register4[[#This Row],[Gov - PCH Complete]:[Gov - Others Complete]],TRUE)&gt;0,TRUE,FALSE))</f>
        <v>1</v>
      </c>
      <c r="FB12" s="6" t="b">
        <f>IF(COUNTA(Register4[[#This Row],[Budget - VTG Complete]:[Budget - Pharmacy Complete]])=0,"",IF(COUNTIF(Register4[[#This Row],[Budget - VTG Complete]:[Budget - Pharmacy Complete]],TRUE)=3,TRUE,FALSE))</f>
        <v>1</v>
      </c>
      <c r="FC12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2" s="6">
        <f>IFERROR(MATCH(FALSE,Register4[[#This Row],[Study Details Complete]:[SIV Complete]],0),1)</f>
        <v>1</v>
      </c>
    </row>
    <row r="13" spans="4:160" x14ac:dyDescent="0.25">
      <c r="D13" s="5">
        <v>44463.083506944444</v>
      </c>
      <c r="E13" s="6" t="s">
        <v>87</v>
      </c>
      <c r="F13" s="5"/>
      <c r="G13" s="6"/>
      <c r="H13" s="5">
        <v>44468.294004629628</v>
      </c>
      <c r="I13" s="6" t="s">
        <v>87</v>
      </c>
      <c r="J13" s="4" t="s">
        <v>243</v>
      </c>
      <c r="K13" s="4"/>
      <c r="L13" s="4" t="s">
        <v>179</v>
      </c>
      <c r="M13" s="4"/>
      <c r="N13" s="4"/>
      <c r="O13" s="4"/>
      <c r="P13" s="7"/>
      <c r="Q13" s="5">
        <v>44467.004826388889</v>
      </c>
      <c r="R13" s="6" t="s">
        <v>87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>
        <v>43466</v>
      </c>
      <c r="DY13" s="6"/>
      <c r="DZ13" s="5">
        <v>44467.002546296295</v>
      </c>
      <c r="EA13" s="6" t="s">
        <v>87</v>
      </c>
      <c r="EB13" s="6" t="b">
        <v>0</v>
      </c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 t="b">
        <v>1</v>
      </c>
      <c r="EZ13" s="6" t="str">
        <f>IF(COUNTA(Register4[[#This Row],[Ethics - CAHS Complete]:[Ethics - Others Complete]])=0, "",IF(COUNTIF(Register4[[#This Row],[Ethics - CAHS Complete]:[Ethics - Others Complete]],TRUE)&gt;0,TRUE,FALSE))</f>
        <v/>
      </c>
      <c r="FA13" s="6" t="str">
        <f>IF(COUNTA(Register4[[#This Row],[Gov - PCH Complete]:[Gov - Others Complete]])=0,"",IF(COUNTIF(Register4[[#This Row],[Gov - PCH Complete]:[Gov - Others Complete]],TRUE)&gt;0,TRUE,FALSE))</f>
        <v/>
      </c>
      <c r="FB13" s="6" t="str">
        <f>IF(COUNTA(Register4[[#This Row],[Budget - VTG Complete]:[Budget - Pharmacy Complete]])=0,"",IF(COUNTIF(Register4[[#This Row],[Budget - VTG Complete]:[Budget - Pharmacy Complete]],TRUE)=3,TRUE,FALSE))</f>
        <v/>
      </c>
      <c r="FC13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3" s="15">
        <f>IFERROR(MATCH(FALSE,Register4[[#This Row],[Study Details Complete]:[SIV Complete]],0),1)</f>
        <v>1</v>
      </c>
    </row>
    <row r="14" spans="4:160" x14ac:dyDescent="0.25">
      <c r="D14" s="5">
        <v>44464.8440162037</v>
      </c>
      <c r="E14" s="6" t="s">
        <v>246</v>
      </c>
      <c r="F14" s="5"/>
      <c r="G14" s="6"/>
      <c r="H14" s="5">
        <v>44468.290439814817</v>
      </c>
      <c r="I14" s="6" t="s">
        <v>87</v>
      </c>
      <c r="J14" s="4" t="s">
        <v>285</v>
      </c>
      <c r="K14" s="4" t="s">
        <v>250</v>
      </c>
      <c r="L14" s="4" t="s">
        <v>247</v>
      </c>
      <c r="M14" s="4" t="s">
        <v>248</v>
      </c>
      <c r="N14" s="4" t="s">
        <v>251</v>
      </c>
      <c r="O14" s="42" t="s">
        <v>252</v>
      </c>
      <c r="P14" s="7"/>
      <c r="Q14" s="5">
        <v>44468.290439814817</v>
      </c>
      <c r="R14" s="6" t="s">
        <v>87</v>
      </c>
      <c r="S14" s="19">
        <v>43525</v>
      </c>
      <c r="T14" s="19">
        <v>43559</v>
      </c>
      <c r="U14" s="19">
        <v>43652</v>
      </c>
      <c r="V14" s="19">
        <v>43716</v>
      </c>
      <c r="W14" s="19">
        <v>43747</v>
      </c>
      <c r="X14" s="19"/>
      <c r="Y14" s="19">
        <v>44464.85328703704</v>
      </c>
      <c r="Z14" s="19" t="s">
        <v>246</v>
      </c>
      <c r="AA14" s="19">
        <v>43831</v>
      </c>
      <c r="AB14" s="19">
        <v>43863</v>
      </c>
      <c r="AC14" s="19" t="s">
        <v>249</v>
      </c>
      <c r="AD14" s="6"/>
      <c r="AE14" s="5">
        <v>44464.845289351855</v>
      </c>
      <c r="AF14" s="6" t="s">
        <v>246</v>
      </c>
      <c r="AG14" s="19">
        <v>43955</v>
      </c>
      <c r="AH14" s="4" t="s">
        <v>86</v>
      </c>
      <c r="AI14" s="19">
        <v>43972</v>
      </c>
      <c r="AJ14" s="4" t="s">
        <v>84</v>
      </c>
      <c r="AK14" s="19">
        <v>43988</v>
      </c>
      <c r="AL14" s="6"/>
      <c r="AM14" s="5">
        <v>44464.855138888888</v>
      </c>
      <c r="AN14" s="6" t="s">
        <v>246</v>
      </c>
      <c r="AO14" s="19">
        <v>43995</v>
      </c>
      <c r="AP14" s="6" t="s">
        <v>253</v>
      </c>
      <c r="AQ14" s="5">
        <v>44464.855162037034</v>
      </c>
      <c r="AR14" s="6" t="s">
        <v>246</v>
      </c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 t="s">
        <v>254</v>
      </c>
      <c r="BI14" s="19">
        <v>44002</v>
      </c>
      <c r="BJ14" s="19">
        <v>44007</v>
      </c>
      <c r="BK14" s="4"/>
      <c r="BL14" s="5">
        <v>44464.856006944443</v>
      </c>
      <c r="BM14" s="6" t="s">
        <v>246</v>
      </c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 t="s">
        <v>255</v>
      </c>
      <c r="CM14" s="19">
        <v>44013</v>
      </c>
      <c r="CN14" s="19">
        <v>44018</v>
      </c>
      <c r="CO14" s="19">
        <v>44022</v>
      </c>
      <c r="CP14" s="4"/>
      <c r="CQ14" s="5">
        <v>44464.856840277775</v>
      </c>
      <c r="CR14" s="6" t="s">
        <v>246</v>
      </c>
      <c r="CS14" s="19">
        <v>44025</v>
      </c>
      <c r="CT14" s="19">
        <v>44028</v>
      </c>
      <c r="CU14" s="19">
        <v>44032</v>
      </c>
      <c r="CV14" s="19"/>
      <c r="CW14" s="19">
        <v>44037</v>
      </c>
      <c r="CX14" s="19"/>
      <c r="CY14" s="19">
        <v>44043</v>
      </c>
      <c r="CZ14" s="19">
        <v>44047</v>
      </c>
      <c r="DA14" s="19"/>
      <c r="DB14" s="5">
        <v>44464.857905092591</v>
      </c>
      <c r="DC14" s="6" t="s">
        <v>246</v>
      </c>
      <c r="DD14" s="19">
        <v>44055</v>
      </c>
      <c r="DE14" s="19">
        <v>44058</v>
      </c>
      <c r="DF14" s="19">
        <v>44065</v>
      </c>
      <c r="DG14" s="6"/>
      <c r="DH14" s="5">
        <v>44464.85832175926</v>
      </c>
      <c r="DI14" s="6" t="s">
        <v>246</v>
      </c>
      <c r="DJ14" s="19">
        <v>44068</v>
      </c>
      <c r="DK14" s="19">
        <v>44070</v>
      </c>
      <c r="DL14" s="19">
        <v>44073</v>
      </c>
      <c r="DM14" s="19">
        <v>44075</v>
      </c>
      <c r="DN14" s="19">
        <v>44081</v>
      </c>
      <c r="DO14" s="19">
        <v>44083</v>
      </c>
      <c r="DP14" s="19">
        <v>44086</v>
      </c>
      <c r="DQ14" s="6"/>
      <c r="DR14" s="5">
        <v>44464.859189814815</v>
      </c>
      <c r="DS14" s="6" t="s">
        <v>246</v>
      </c>
      <c r="DT14" s="19">
        <v>44088</v>
      </c>
      <c r="DU14" s="6"/>
      <c r="DV14" s="5">
        <v>44464.859525462962</v>
      </c>
      <c r="DW14" s="6" t="s">
        <v>246</v>
      </c>
      <c r="DX14" s="19">
        <v>44094</v>
      </c>
      <c r="DY14" s="6"/>
      <c r="DZ14" s="5">
        <v>44464.8596875</v>
      </c>
      <c r="EA14" s="6" t="s">
        <v>246</v>
      </c>
      <c r="EB14" s="6" t="b">
        <v>1</v>
      </c>
      <c r="EC14" s="6" t="b">
        <v>1</v>
      </c>
      <c r="ED14" s="6" t="b">
        <v>1</v>
      </c>
      <c r="EE14" s="6" t="b">
        <v>1</v>
      </c>
      <c r="EF14" s="6" t="b">
        <v>1</v>
      </c>
      <c r="EG14" s="6"/>
      <c r="EH14" s="6"/>
      <c r="EI14" s="6"/>
      <c r="EJ14" s="6"/>
      <c r="EK14" s="6" t="b">
        <v>1</v>
      </c>
      <c r="EL14" s="6"/>
      <c r="EM14" s="6"/>
      <c r="EN14" s="6"/>
      <c r="EO14" s="6"/>
      <c r="EP14" s="6"/>
      <c r="EQ14" s="6"/>
      <c r="ER14" s="6" t="b">
        <v>1</v>
      </c>
      <c r="ES14" s="6" t="b">
        <v>1</v>
      </c>
      <c r="ET14" s="6" t="b">
        <v>1</v>
      </c>
      <c r="EU14" s="6" t="b">
        <v>1</v>
      </c>
      <c r="EV14" s="6" t="b">
        <v>1</v>
      </c>
      <c r="EW14" s="6" t="b">
        <v>1</v>
      </c>
      <c r="EX14" s="6" t="b">
        <v>1</v>
      </c>
      <c r="EY14" s="6" t="b">
        <v>1</v>
      </c>
      <c r="EZ14" s="6" t="b">
        <f>IF(COUNTA(Register4[[#This Row],[Ethics - CAHS Complete]:[Ethics - Others Complete]])=0, "",IF(COUNTIF(Register4[[#This Row],[Ethics - CAHS Complete]:[Ethics - Others Complete]],TRUE)&gt;0,TRUE,FALSE))</f>
        <v>1</v>
      </c>
      <c r="FA14" s="6" t="b">
        <f>IF(COUNTA(Register4[[#This Row],[Gov - PCH Complete]:[Gov - Others Complete]])=0,"",IF(COUNTIF(Register4[[#This Row],[Gov - PCH Complete]:[Gov - Others Complete]],TRUE)&gt;0,TRUE,FALSE))</f>
        <v>1</v>
      </c>
      <c r="FB14" s="6" t="b">
        <f>IF(COUNTA(Register4[[#This Row],[Budget - VTG Complete]:[Budget - Pharmacy Complete]])=0,"",IF(COUNTIF(Register4[[#This Row],[Budget - VTG Complete]:[Budget - Pharmacy Complete]],TRUE)=3,TRUE,FALSE))</f>
        <v>1</v>
      </c>
      <c r="FC14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4" s="15">
        <f>IFERROR(MATCH(FALSE,Register4[[#This Row],[Study Details Complete]:[SIV Complete]],0),1)</f>
        <v>1</v>
      </c>
    </row>
    <row r="15" spans="4:160" x14ac:dyDescent="0.25">
      <c r="D15" s="5">
        <v>44466.823842592596</v>
      </c>
      <c r="E15" s="6" t="s">
        <v>87</v>
      </c>
      <c r="F15" s="5"/>
      <c r="G15" s="6"/>
      <c r="H15" s="5">
        <v>44468.484363425923</v>
      </c>
      <c r="I15" s="6" t="s">
        <v>87</v>
      </c>
      <c r="J15" s="4" t="s">
        <v>243</v>
      </c>
      <c r="K15" s="4" t="s">
        <v>286</v>
      </c>
      <c r="L15" s="4" t="s">
        <v>287</v>
      </c>
      <c r="M15" s="4" t="s">
        <v>288</v>
      </c>
      <c r="N15" s="4" t="s">
        <v>289</v>
      </c>
      <c r="O15" s="42" t="s">
        <v>290</v>
      </c>
      <c r="P15" s="7" t="s">
        <v>294</v>
      </c>
      <c r="Q15" s="5">
        <v>44468.483877314815</v>
      </c>
      <c r="R15" s="6" t="s">
        <v>87</v>
      </c>
      <c r="S15" s="19">
        <v>43831</v>
      </c>
      <c r="T15" s="19">
        <v>43835</v>
      </c>
      <c r="U15" s="19">
        <v>43840</v>
      </c>
      <c r="V15" s="19">
        <v>43845</v>
      </c>
      <c r="W15" s="19">
        <v>43850</v>
      </c>
      <c r="X15" s="19" t="s">
        <v>293</v>
      </c>
      <c r="Y15" s="19">
        <v>44468.484131944446</v>
      </c>
      <c r="Z15" s="19" t="s">
        <v>87</v>
      </c>
      <c r="AA15" s="19">
        <v>43862</v>
      </c>
      <c r="AB15" s="19">
        <v>43866</v>
      </c>
      <c r="AC15" s="19" t="s">
        <v>291</v>
      </c>
      <c r="AD15" s="6" t="s">
        <v>292</v>
      </c>
      <c r="AE15" s="5">
        <v>44468.448136574072</v>
      </c>
      <c r="AF15" s="6" t="s">
        <v>87</v>
      </c>
      <c r="AG15" s="19">
        <v>43891</v>
      </c>
      <c r="AH15" s="4" t="s">
        <v>86</v>
      </c>
      <c r="AI15" s="19">
        <v>43921</v>
      </c>
      <c r="AJ15" s="4" t="s">
        <v>84</v>
      </c>
      <c r="AK15" s="19">
        <v>43926</v>
      </c>
      <c r="AL15" s="6" t="s">
        <v>295</v>
      </c>
      <c r="AM15" s="5">
        <v>44468.448148148149</v>
      </c>
      <c r="AN15" s="6" t="s">
        <v>87</v>
      </c>
      <c r="AO15" s="19">
        <v>43831</v>
      </c>
      <c r="AP15" s="6" t="s">
        <v>296</v>
      </c>
      <c r="AQ15" s="5">
        <v>44468.448159722226</v>
      </c>
      <c r="AR15" s="6" t="s">
        <v>87</v>
      </c>
      <c r="AS15" s="19">
        <v>43922</v>
      </c>
      <c r="AT15" s="19">
        <v>43923</v>
      </c>
      <c r="AU15" s="19">
        <v>43925</v>
      </c>
      <c r="AV15" s="19">
        <v>43926</v>
      </c>
      <c r="AW15" s="19" t="s">
        <v>297</v>
      </c>
      <c r="AX15" s="4"/>
      <c r="AY15" s="19"/>
      <c r="AZ15" s="19"/>
      <c r="BA15" s="19"/>
      <c r="BB15" s="19"/>
      <c r="BC15" s="19"/>
      <c r="BD15" s="19"/>
      <c r="BE15" s="4"/>
      <c r="BF15" s="4"/>
      <c r="BG15" s="4"/>
      <c r="BH15" s="4" t="s">
        <v>302</v>
      </c>
      <c r="BI15" s="19">
        <v>43831</v>
      </c>
      <c r="BJ15" s="19" t="s">
        <v>108</v>
      </c>
      <c r="BK15" s="4" t="s">
        <v>298</v>
      </c>
      <c r="BL15" s="5">
        <v>44468.481759259259</v>
      </c>
      <c r="BM15" s="6" t="s">
        <v>87</v>
      </c>
      <c r="BN15" s="19">
        <v>43983</v>
      </c>
      <c r="BO15" s="19">
        <v>43987</v>
      </c>
      <c r="BP15" s="19">
        <v>43991</v>
      </c>
      <c r="BQ15" s="19" t="s">
        <v>299</v>
      </c>
      <c r="BR15" s="4"/>
      <c r="BS15" s="4"/>
      <c r="BT15" s="19"/>
      <c r="BU15" s="19"/>
      <c r="BV15" s="4"/>
      <c r="BW15" s="4"/>
      <c r="BX15" s="4"/>
      <c r="BY15" s="4"/>
      <c r="BZ15" s="4"/>
      <c r="CA15" s="4"/>
      <c r="CB15" s="4"/>
      <c r="CC15" s="4"/>
      <c r="CD15" s="19">
        <v>44013</v>
      </c>
      <c r="CE15" s="4"/>
      <c r="CF15" s="4"/>
      <c r="CG15" s="4" t="s">
        <v>300</v>
      </c>
      <c r="CH15" s="4"/>
      <c r="CI15" s="4"/>
      <c r="CJ15" s="4"/>
      <c r="CK15" s="4"/>
      <c r="CL15" s="4"/>
      <c r="CM15" s="19"/>
      <c r="CN15" s="19"/>
      <c r="CO15" s="19"/>
      <c r="CP15" s="4"/>
      <c r="CQ15" s="5">
        <v>44468.462916666664</v>
      </c>
      <c r="CR15" s="6" t="s">
        <v>87</v>
      </c>
      <c r="CS15" s="19"/>
      <c r="CT15" s="19"/>
      <c r="CU15" s="19"/>
      <c r="CV15" s="19"/>
      <c r="CW15" s="19"/>
      <c r="CX15" s="19"/>
      <c r="CY15" s="19"/>
      <c r="CZ15" s="19"/>
      <c r="DA15" s="19"/>
      <c r="DB15" s="5">
        <v>44468.462395833332</v>
      </c>
      <c r="DC15" s="6" t="s">
        <v>87</v>
      </c>
      <c r="DD15" s="19"/>
      <c r="DE15" s="19"/>
      <c r="DF15" s="19"/>
      <c r="DG15" s="6"/>
      <c r="DH15" s="5">
        <v>44468.462372685186</v>
      </c>
      <c r="DI15" s="6" t="s">
        <v>87</v>
      </c>
      <c r="DJ15" s="19"/>
      <c r="DK15" s="19"/>
      <c r="DL15" s="19"/>
      <c r="DM15" s="19"/>
      <c r="DN15" s="19"/>
      <c r="DO15" s="19"/>
      <c r="DP15" s="19"/>
      <c r="DQ15" s="6"/>
      <c r="DR15" s="5">
        <v>44468.462361111109</v>
      </c>
      <c r="DS15" s="6" t="s">
        <v>87</v>
      </c>
      <c r="DT15" s="19"/>
      <c r="DU15" s="6"/>
      <c r="DV15" s="5">
        <v>44468.46234953704</v>
      </c>
      <c r="DW15" s="6" t="s">
        <v>87</v>
      </c>
      <c r="DX15" s="19">
        <v>44562</v>
      </c>
      <c r="DY15" s="6" t="s">
        <v>301</v>
      </c>
      <c r="DZ15" s="5">
        <v>44468.462337962963</v>
      </c>
      <c r="EA15" s="6" t="s">
        <v>87</v>
      </c>
      <c r="EB15" s="15" t="b">
        <v>1</v>
      </c>
      <c r="EC15" s="15" t="b">
        <v>1</v>
      </c>
      <c r="ED15" s="15" t="b">
        <v>1</v>
      </c>
      <c r="EE15" s="15" t="b">
        <v>1</v>
      </c>
      <c r="EF15" s="15" t="b">
        <v>1</v>
      </c>
      <c r="EG15" s="15" t="b">
        <v>1</v>
      </c>
      <c r="EH15" s="6"/>
      <c r="EI15" s="6"/>
      <c r="EJ15" s="6"/>
      <c r="EK15" s="6" t="b">
        <v>0</v>
      </c>
      <c r="EL15" s="6" t="b">
        <v>1</v>
      </c>
      <c r="EM15" s="6"/>
      <c r="EN15" s="6"/>
      <c r="EO15" s="6"/>
      <c r="EP15" s="6" t="b">
        <v>0</v>
      </c>
      <c r="EQ15" s="6"/>
      <c r="ER15" s="6"/>
      <c r="ES15" s="6"/>
      <c r="ET15" s="6"/>
      <c r="EU15" s="6"/>
      <c r="EV15" s="6"/>
      <c r="EW15" s="6"/>
      <c r="EX15" s="6"/>
      <c r="EY15" s="6" t="b">
        <v>1</v>
      </c>
      <c r="EZ15" s="15" t="b">
        <f>IF(COUNTA(Register4[[#This Row],[Ethics - CAHS Complete]:[Ethics - Others Complete]])=0, "",IF(COUNTIF(Register4[[#This Row],[Ethics - CAHS Complete]:[Ethics - Others Complete]],TRUE)&gt;0,TRUE,FALSE))</f>
        <v>1</v>
      </c>
      <c r="FA15" s="6" t="b">
        <f>IF(COUNTA(Register4[[#This Row],[Gov - PCH Complete]:[Gov - Others Complete]])=0,"",IF(COUNTIF(Register4[[#This Row],[Gov - PCH Complete]:[Gov - Others Complete]],TRUE)&gt;0,TRUE,FALSE))</f>
        <v>1</v>
      </c>
      <c r="FB15" s="6" t="str">
        <f>IF(COUNTA(Register4[[#This Row],[Budget - VTG Complete]:[Budget - Pharmacy Complete]])=0,"",IF(COUNTIF(Register4[[#This Row],[Budget - VTG Complete]:[Budget - Pharmacy Complete]],TRUE)=3,TRUE,FALSE))</f>
        <v/>
      </c>
      <c r="FC15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5" s="15">
        <f>IFERROR(MATCH(FALSE,Register4[[#This Row],[Study Details Complete]:[SIV Complete]],0),1)</f>
        <v>10</v>
      </c>
    </row>
    <row r="16" spans="4:160" x14ac:dyDescent="0.25"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25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2" x14ac:dyDescent="0.25">
      <c r="J18" s="18"/>
      <c r="K18" s="18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45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</row>
    <row r="19" spans="10:132" x14ac:dyDescent="0.25">
      <c r="J19" s="17"/>
      <c r="K19" s="17"/>
    </row>
    <row r="20" spans="10:132" x14ac:dyDescent="0.25">
      <c r="J20" s="17"/>
      <c r="K20" s="17"/>
      <c r="M20" s="43"/>
    </row>
    <row r="21" spans="10:132" x14ac:dyDescent="0.25">
      <c r="EB21" s="44"/>
    </row>
  </sheetData>
  <dataConsolidate/>
  <mergeCells count="16">
    <mergeCell ref="Y4:Z4"/>
    <mergeCell ref="D4:E4"/>
    <mergeCell ref="F4:G4"/>
    <mergeCell ref="H4:I4"/>
    <mergeCell ref="K4:O4"/>
    <mergeCell ref="Q4:R4"/>
    <mergeCell ref="DH4:DI4"/>
    <mergeCell ref="DR4:DS4"/>
    <mergeCell ref="DV4:DW4"/>
    <mergeCell ref="DZ4:EA4"/>
    <mergeCell ref="AE4:AF4"/>
    <mergeCell ref="AM4:AN4"/>
    <mergeCell ref="AQ4:AR4"/>
    <mergeCell ref="BL4:BM4"/>
    <mergeCell ref="CQ4:CR4"/>
    <mergeCell ref="DB4:DC4"/>
  </mergeCells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User Guide</vt:lpstr>
      <vt:lpstr>Register</vt:lpstr>
      <vt:lpstr>Overview Report</vt:lpstr>
      <vt:lpstr>Register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2021-09-29T13:25:27Z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