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D1E30404-E5C1-421D-B95C-90082093BEA2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/>
  <c r="FB13" i="1"/>
  <c r="FA13" i="1"/>
  <c r="EZ13" i="1"/>
  <c r="FD12" i="1"/>
  <c r="FB12" i="1"/>
  <c r="FA12" i="1"/>
  <c r="EZ12" i="1"/>
  <c r="FC12" i="1" s="1"/>
  <c r="FD11" i="1"/>
  <c r="FB11" i="1"/>
  <c r="FA11" i="1"/>
  <c r="EZ11" i="1"/>
  <c r="FD10" i="1"/>
  <c r="FB10" i="1"/>
  <c r="FA10" i="1"/>
  <c r="EZ10" i="1"/>
  <c r="FD9" i="1"/>
  <c r="FB9" i="1"/>
  <c r="FA9" i="1"/>
  <c r="FC9" i="1" s="1"/>
  <c r="EZ9" i="1"/>
  <c r="FD7" i="1"/>
  <c r="FB7" i="1"/>
  <c r="FA7" i="1"/>
  <c r="EZ7" i="1"/>
  <c r="FC7" i="1" s="1"/>
  <c r="FD6" i="1"/>
  <c r="FB6" i="1"/>
  <c r="FA6" i="1"/>
  <c r="EZ6" i="1"/>
  <c r="FB8" i="1"/>
  <c r="FD8" i="1"/>
  <c r="FA8" i="1"/>
  <c r="EZ8" i="1"/>
  <c r="FC8" i="1" s="1"/>
  <c r="FC13" i="1" l="1"/>
  <c r="FC11" i="1"/>
  <c r="FC10" i="1"/>
  <c r="FC6" i="1"/>
</calcChain>
</file>

<file path=xl/sharedStrings.xml><?xml version="1.0" encoding="utf-8"?>
<sst xmlns="http://schemas.openxmlformats.org/spreadsheetml/2006/main" count="427" uniqueCount="324">
  <si>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</si>
  <si>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</si>
  <si>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</si>
  <si>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</si>
  <si>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</si>
  <si>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</si>
  <si>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</si>
  <si>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</si>
  <si>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</si>
  <si>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</si>
  <si>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</si>
  <si>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</si>
  <si>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</si>
  <si>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</si>
  <si>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</si>
  <si>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</si>
  <si>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</si>
  <si>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</si>
  <si>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</si>
  <si>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</si>
  <si>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</si>
  <si>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</si>
  <si>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</si>
  <si>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</si>
  <si>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</si>
  <si>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</si>
  <si>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</si>
  <si>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</si>
  <si>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</si>
  <si>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</si>
  <si>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</si>
  <si>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</si>
  <si>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</si>
  <si>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</si>
  <si>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</si>
  <si>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</si>
  <si>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</si>
  <si>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</si>
  <si>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</si>
  <si>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</si>
  <si>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</si>
  <si>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</si>
  <si>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</si>
  <si>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</si>
  <si>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</si>
  <si>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</si>
  <si>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</si>
  <si>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</si>
  <si>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</si>
  <si>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</si>
  <si>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</si>
  <si>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</si>
  <si>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</si>
  <si>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</si>
  <si>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</si>
  <si>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</si>
  <si>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</si>
  <si>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</si>
  <si>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</si>
  <si>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</si>
  <si>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</si>
  <si>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</si>
  <si>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</si>
  <si>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</si>
  <si>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</si>
  <si>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</si>
  <si>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</si>
  <si>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</si>
  <si>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</si>
  <si>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</si>
  <si>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</si>
  <si>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</si>
  <si>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</si>
  <si>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</si>
  <si>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</si>
  <si>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</si>
  <si>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</si>
  <si>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</si>
  <si>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</si>
  <si>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</si>
  <si>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</si>
  <si>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</si>
  <si>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</si>
  <si>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</si>
  <si>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</si>
  <si>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</si>
  <si>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</si>
  <si>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</si>
  <si>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</si>
  <si>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</si>
  <si>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</si>
  <si>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</si>
  <si>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</si>
  <si>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</si>
  <si>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</si>
  <si>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</si>
  <si>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</si>
  <si>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</si>
  <si>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</si>
  <si>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</si>
  <si>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</si>
  <si>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</si>
  <si>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</si>
  <si>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</si>
  <si>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</si>
  <si>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</si>
  <si>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</si>
  <si>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</si>
  <si>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</si>
  <si>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</si>
  <si>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</si>
  <si>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</si>
  <si>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</si>
  <si>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</si>
  <si>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</si>
  <si>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</si>
  <si>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</si>
  <si>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</si>
  <si>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</si>
  <si>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</si>
  <si>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</si>
  <si>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</si>
  <si>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</si>
  <si>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</si>
  <si>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</si>
  <si>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</si>
  <si>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</si>
  <si>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</si>
  <si>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</si>
  <si>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</si>
  <si>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</si>
  <si>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</si>
  <si>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</si>
  <si>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</si>
  <si>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</si>
  <si>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</si>
  <si>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</si>
  <si>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</si>
  <si>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</si>
  <si>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</si>
  <si>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</si>
  <si>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</si>
  <si>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</si>
  <si>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</si>
  <si>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</si>
  <si>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</si>
  <si>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</si>
  <si>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</si>
  <si>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</si>
  <si>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</si>
  <si>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</si>
  <si>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</si>
  <si>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</si>
  <si>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</si>
  <si>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</si>
  <si>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</si>
  <si>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</si>
  <si>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</si>
  <si>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</si>
  <si>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</si>
  <si>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</si>
  <si>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</si>
  <si>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</si>
  <si>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</si>
  <si>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</si>
  <si>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</si>
  <si>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</si>
  <si>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</si>
  <si>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</si>
  <si>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</si>
  <si>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</si>
  <si>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</si>
  <si>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</si>
  <si>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</si>
  <si>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</si>
  <si>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</si>
  <si>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</si>
  <si>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</si>
  <si>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</si>
  <si>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</si>
  <si>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</si>
  <si>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</si>
  <si>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</si>
  <si>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</si>
  <si>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</si>
  <si>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</si>
  <si>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</si>
  <si>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</si>
  <si>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</si>
  <si>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</si>
  <si>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</si>
  <si>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</si>
  <si>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</si>
  <si>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</si>
  <si>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</si>
  <si>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</si>
  <si>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</si>
  <si>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</si>
  <si>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</si>
  <si>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</si>
  <si>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</si>
  <si>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</si>
  <si>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</si>
  <si>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</si>
  <si>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</si>
  <si>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</si>
  <si>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</si>
  <si>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</si>
  <si>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</si>
  <si>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</si>
  <si>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</si>
  <si>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</si>
  <si>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</si>
  <si>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</si>
  <si>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</si>
  <si>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</si>
  <si>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</si>
  <si>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</si>
  <si>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</si>
  <si>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</si>
  <si>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</si>
  <si>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</si>
  <si>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</si>
  <si>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</si>
  <si>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</si>
  <si>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</si>
  <si>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</si>
  <si>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</si>
  <si>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</si>
  <si>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</si>
  <si>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</si>
  <si>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</si>
  <si>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</si>
  <si>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</si>
  <si>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</si>
  <si>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</si>
  <si>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</si>
  <si>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</si>
  <si>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</si>
  <si>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</si>
  <si>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</si>
  <si>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</si>
  <si>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</si>
  <si>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</si>
  <si>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</si>
  <si>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</si>
  <si>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Anti-Death Equation</t>
  </si>
  <si>
    <t>The Dark Side Inc.</t>
  </si>
  <si>
    <t>D4RKS31D</t>
  </si>
  <si>
    <t>Apo-Ko-Lips</t>
  </si>
  <si>
    <t>12 to 65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</si>
  <si>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</si>
  <si>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</si>
  <si>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</si>
  <si>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</si>
  <si>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</si>
  <si>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</si>
  <si>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</si>
  <si>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</si>
  <si>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</si>
  <si>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</si>
  <si>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</si>
  <si>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</si>
  <si>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</si>
  <si>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</si>
  <si>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</si>
  <si>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</si>
  <si>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</si>
  <si>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</si>
  <si>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</si>
  <si>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</si>
  <si>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</si>
  <si>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</si>
  <si>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</si>
  <si>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</si>
  <si>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</si>
  <si>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</si>
  <si>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</si>
  <si>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Commenced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</si>
  <si>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</si>
  <si>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</si>
  <si>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</si>
  <si>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</si>
  <si>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</si>
  <si>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</si>
  <si>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</si>
  <si>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</si>
  <si>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</si>
  <si>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</si>
  <si>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</si>
  <si>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</si>
  <si>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</si>
  <si>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</si>
  <si>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</si>
  <si>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</si>
  <si>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</si>
  <si>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01-Mar-19
Date Sent Contracts = 04-Apr-19
Date Recv. Contracts = 06-Jul-19
Date Sent Sponsor = 08-Sep-19
Date Finalised = 09-Oct-19
</t>
  </si>
  <si>
    <t>Date Recv. = 01-Jan-20
Date Completed = 02-Feb-20; Glorious Godfrey</t>
  </si>
  <si>
    <t>Pre-study visit = 04-May-20; On-site
Valid. visit = 21-May-20; Virtual
Date Site Selected = 06-Jun-20</t>
  </si>
  <si>
    <t>Plan. Meeting = 13-Jun-20</t>
  </si>
  <si>
    <t>Others Complete</t>
  </si>
  <si>
    <t>Ethics Commitee = New Genesis Committee
Date Submitted = 20-Jun-20
Date Approved = 25-Jun-20</t>
  </si>
  <si>
    <t>Gov. Body = Fourth World
Date Submitted = 01-Jul-20
Date Responded = 06-Jul-20
Date Approved = 10-Jul-20</t>
  </si>
  <si>
    <t>Date Finalised = 13-Jul-20
Date Submitted Finance = 16-Jul-20
Date Approved = 20-Jul-20</t>
  </si>
  <si>
    <t>Date Approved = 25-Jul-20</t>
  </si>
  <si>
    <t>Date Quote Recv. = 31-Jul-20
Date PO Finalised = 04-Aug-20</t>
  </si>
  <si>
    <t>Date Received = 12-Aug-20
Date Sent Contracts = 15-Aug-20
Date Completed = 22-Aug-20</t>
  </si>
  <si>
    <t>Date Submitted R,G&amp;C = 25-Aug-20
Date UWA Review = 27-Aug-20
Date Finance Review = 30-Aug-20
Date COO/CFO Sign-off = 01-Sep-20
Date VTG Sign-off = 07-Sep-20
Date Subm. Company = 09-Sep-20
Date Finalised = 12-Sep-20</t>
  </si>
  <si>
    <t>Date Completed = 14-Sep-20</t>
  </si>
  <si>
    <t>Date of SIV = 20-Sep-20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</si>
  <si>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</si>
  <si>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</si>
  <si>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</si>
  <si>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</si>
  <si>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</si>
  <si>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</si>
  <si>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</si>
  <si>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</si>
  <si>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</si>
  <si>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</si>
  <si>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</si>
  <si>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 xml:space="preserve">Date Submitted R,G&amp;C = 01-Jan-20
Date UWA Review = 01-May-20
Date Finance Review = 01-Sep-20
Date COO/CFO Sign-off = 02-Jun-30
Date VTG Sign-off = 
Date Subm. Company = 
Date Finalised = </t>
  </si>
  <si>
    <t>Date of SIV = 11-Jan-22</t>
  </si>
  <si>
    <t>Data retrieved 29-Sep-2021 09:40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</si>
</sst>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36" dataDxfId="35">
  <autoFilter ref="A8:AH17" xr:uid="{F456AC9D-7704-49A5-9205-9A7479E6BB27}"/>
  <sortState xmlns:xlrd2="http://schemas.microsoft.com/office/spreadsheetml/2017/richdata2" ref="A9:AH9">
    <sortCondition sortBy="cellColor" ref="H8:H9" dxfId="34"/>
  </sortState>
  <tableColumns count="34">
    <tableColumn id="1" xr3:uid="{029E10D2-95CB-4A6C-A47D-5641AC7A0055}" name="Study Status" dataDxfId="33"/>
    <tableColumn id="2" xr3:uid="{C49E588C-C4DE-45DE-88D5-8AC662409270}" name="Date Created" dataDxfId="32"/>
    <tableColumn id="4" xr3:uid="{831920DE-86BC-4898-81E1-AFFE932379B9}" name="Study Name" dataDxfId="31"/>
    <tableColumn id="3" xr3:uid="{C89F95A8-564E-4403-ADDA-D618383A4E30}" name="Date Last Updated" dataDxfId="30"/>
    <tableColumn id="5" xr3:uid="{DBB29CFB-ACDE-4E61-9041-3A6725ECBB27}" name="Protocol Number" dataDxfId="29"/>
    <tableColumn id="6" xr3:uid="{797AA5C8-8301-4F2C-B556-C53458E6016A}" name="Sponsor" dataDxfId="28"/>
    <tableColumn id="7" xr3:uid="{748046CD-22D1-4C98-8DE3-13B23900F208}" name="CRO" dataDxfId="27"/>
    <tableColumn id="8" xr3:uid="{38F62305-511B-4EAD-9BDD-0022F8DC6DAA}" name="Age Range / Reminder" dataDxfId="26"/>
    <tableColumn id="9" xr3:uid="{698728C0-A3C6-4D45-80A4-E160B8579B34}" name="CDA" dataDxfId="25"/>
    <tableColumn id="10" xr3:uid="{D7B7B8B1-BF7A-4A91-ADD1-2CB3C730B1C0}" name="Feasibility" dataDxfId="24"/>
    <tableColumn id="11" xr3:uid="{D85A0B2B-DDF0-4AC3-A45A-14BE5D41416C}" name="Site Selection" dataDxfId="23"/>
    <tableColumn id="12" xr3:uid="{A585822F-A959-43D7-A424-A352E75F0954}" name="Recruitment Plan" dataDxfId="22"/>
    <tableColumn id="13" xr3:uid="{A50841ED-F2DD-44DB-930B-FD81AB2D7F3A}" name="Overall Ethics Approval" dataDxfId="21"/>
    <tableColumn id="14" xr3:uid="{3672012C-48E1-419C-B55B-23BB64AE6630}" name="CAHS Ethics Approval" dataDxfId="20"/>
    <tableColumn id="15" xr3:uid="{70445A27-BE6C-46C3-840C-A0065A95B092}" name="NMA Ethics Approval" dataDxfId="19"/>
    <tableColumn id="16" xr3:uid="{7D837278-B6BA-4B88-9FC0-A216926910A6}" name="WNHS Ethics Approval" dataDxfId="18"/>
    <tableColumn id="17" xr3:uid="{BCF683F3-0404-4D41-B20B-A0B5568F1A71}" name="SJOG Ethics Approval" dataDxfId="17"/>
    <tableColumn id="18" xr3:uid="{D761C224-84DB-4A19-A5DE-A0FED02242EA}" name="Others Ethics Approval" dataDxfId="16"/>
    <tableColumn id="19" xr3:uid="{20837BA9-29D0-4811-9FB7-2D6B5D622895}" name="Overall Governance Approval" dataDxfId="15"/>
    <tableColumn id="20" xr3:uid="{EF20339A-2979-4A87-90D2-747954CEAB85}" name="PCH Governance Approval" dataDxfId="14"/>
    <tableColumn id="21" xr3:uid="{70B43F0F-6BCD-481B-AE6F-3FB8E581C9FC}" name="TKI Governance Approval" dataDxfId="13"/>
    <tableColumn id="22" xr3:uid="{3599AB99-9AB4-4B40-9179-C6A5293BDC33}" name="KEMH Governance Approval" dataDxfId="12"/>
    <tableColumn id="23" xr3:uid="{A6D56650-2AE0-4EFB-AFE1-C6E750A07789}" name="SJOG Subiaco Gov. Approval" dataDxfId="11"/>
    <tableColumn id="24" xr3:uid="{5D7B2183-EA74-4B58-97D5-37B39713E12B}" name="SJOG Mt Lawley Gov. Approval" dataDxfId="10"/>
    <tableColumn id="25" xr3:uid="{72FD141E-3D6C-4F9F-BB49-6E5C1486E59D}" name="SJOG Murdoch Gov. Approval" dataDxfId="9"/>
    <tableColumn id="26" xr3:uid="{87E41995-0250-481D-9B0B-127CB14DF101}" name="Others Governance Approval" dataDxfId="8"/>
    <tableColumn id="28" xr3:uid="{802E393F-5F08-438F-A004-2797CBDC916C}" name="Overall Budget Approval" dataDxfId="7"/>
    <tableColumn id="29" xr3:uid="{48942A0D-04A4-4AA4-B0FA-0BCC4794A86F}" name="VTG Budget Approval" dataDxfId="6"/>
    <tableColumn id="30" xr3:uid="{2BF2686A-593C-48E2-A4EC-5A543E823C91}" name="TKI Budget Approval" dataDxfId="5"/>
    <tableColumn id="31" xr3:uid="{E8F3A721-A4AD-4D0A-9090-CF01FFA27211}" name="Pharmacy Quotation" dataDxfId="4"/>
    <tableColumn id="27" xr3:uid="{05AF522F-6AC7-4443-89A1-48B670B86CEF}" name="Indemnity" dataDxfId="3"/>
    <tableColumn id="32" xr3:uid="{5AC8E1DB-6C96-4851-9276-8131F5D9D6B1}" name="CTRA" dataDxfId="2"/>
    <tableColumn id="33" xr3:uid="{F3FAABC5-44EB-456B-96CF-1558F99C073F}" name="Financial Disclosure" dataDxfId="1"/>
    <tableColumn id="34" xr3:uid="{71268665-458F-45C4-B8D1-01BF5A88F4CE}" name="SIV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19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K10" sqref="K10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181</v>
      </c>
      <c r="R4" s="48"/>
      <c r="S4" s="3"/>
      <c r="T4" s="3"/>
      <c r="U4" s="3"/>
      <c r="V4" s="3"/>
      <c r="W4" s="3"/>
      <c r="X4" s="3"/>
      <c r="Y4" s="48" t="s">
        <v>180</v>
      </c>
      <c r="Z4" s="48"/>
      <c r="AA4" s="3"/>
      <c r="AB4" s="3"/>
      <c r="AC4" s="3"/>
      <c r="AD4" s="3"/>
      <c r="AE4" s="48" t="s">
        <v>188</v>
      </c>
      <c r="AF4" s="48"/>
      <c r="AM4" s="48" t="s">
        <v>195</v>
      </c>
      <c r="AN4" s="48"/>
      <c r="AQ4" s="48" t="s">
        <v>202</v>
      </c>
      <c r="AR4" s="48"/>
      <c r="BL4" s="48" t="s">
        <v>203</v>
      </c>
      <c r="BM4" s="48"/>
      <c r="CQ4" s="48" t="s">
        <v>221</v>
      </c>
      <c r="CR4" s="48"/>
      <c r="DB4" s="48" t="s">
        <v>224</v>
      </c>
      <c r="DC4" s="48"/>
      <c r="DH4" s="48" t="s">
        <v>230</v>
      </c>
      <c r="DI4" s="48"/>
      <c r="DR4" s="48" t="s">
        <v>231</v>
      </c>
      <c r="DS4" s="48"/>
      <c r="DV4" s="48" t="s">
        <v>237</v>
      </c>
      <c r="DW4" s="48"/>
      <c r="DZ4" s="48" t="s">
        <v>239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263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265</v>
      </c>
      <c r="FA5" s="8" t="s">
        <v>266</v>
      </c>
      <c r="FB5" s="8" t="s">
        <v>268</v>
      </c>
      <c r="FC5" s="8" t="s">
        <v>267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>IFERROR(MATCH(FALSE,Register[[#This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>IFERROR(MATCH(FALSE,Register[[#This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>IFERROR(MATCH(FALSE,Register[[#This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>IFERROR(MATCH(FALSE,Register[[#This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>IFERROR(MATCH(FALSE,Register[[#This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>IFERROR(MATCH(FALSE,Register[[#This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>IFERROR(MATCH(FALSE,Register[[#This Row],[Study Details Complete]:[SIV Complete]],0),1)</f>
        <v>1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44471.604456018518</v>
      </c>
      <c r="I13" s="6" t="s">
        <v>87</v>
      </c>
      <c r="J13" s="4" t="s">
        <v>243</v>
      </c>
      <c r="K13" s="4">
        <v>110</v>
      </c>
      <c r="L13" s="4" t="s">
        <v>279</v>
      </c>
      <c r="M13" s="4" t="s">
        <v>280</v>
      </c>
      <c r="N13" s="4" t="s">
        <v>280</v>
      </c>
      <c r="O13" s="42" t="s">
        <v>293</v>
      </c>
      <c r="P13" s="7" t="s">
        <v>284</v>
      </c>
      <c r="Q13" s="5">
        <v>44471.604120370372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283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281</v>
      </c>
      <c r="AD13" s="6" t="s">
        <v>282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285</v>
      </c>
      <c r="AM13" s="5">
        <v>44468.832129629627</v>
      </c>
      <c r="AN13" s="6" t="s">
        <v>87</v>
      </c>
      <c r="AO13" s="19">
        <v>43831</v>
      </c>
      <c r="AP13" s="6" t="s">
        <v>286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287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292</v>
      </c>
      <c r="BI13" s="19">
        <v>43831</v>
      </c>
      <c r="BJ13" s="19" t="s">
        <v>108</v>
      </c>
      <c r="BK13" s="4" t="s">
        <v>288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289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290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294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291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>IFERROR(MATCH(FALSE,Register[[#This Row],[Study Details Complete]:[SIV Complete]],0),1)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323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269</v>
      </c>
      <c r="B3" s="21"/>
      <c r="I3" s="1"/>
      <c r="AB3" s="1"/>
      <c r="AI3"/>
      <c r="AJ3"/>
    </row>
    <row r="4" spans="1:36" x14ac:dyDescent="0.25">
      <c r="A4" t="s">
        <v>270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259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253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254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258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243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251</v>
      </c>
      <c r="M14" s="34" t="s">
        <v>252</v>
      </c>
      <c r="N14" s="34" t="s">
        <v>271</v>
      </c>
      <c r="O14" s="34" t="s">
        <v>256</v>
      </c>
      <c r="P14" s="34" t="s">
        <v>257</v>
      </c>
      <c r="Q14" s="26"/>
      <c r="R14" s="26"/>
      <c r="S14" s="34" t="s">
        <v>255</v>
      </c>
      <c r="T14" s="34" t="s">
        <v>260</v>
      </c>
      <c r="U14" s="34" t="s">
        <v>272</v>
      </c>
      <c r="V14" s="26"/>
      <c r="W14" s="26"/>
      <c r="X14" s="26"/>
      <c r="Y14" s="26"/>
      <c r="Z14" s="26"/>
      <c r="AA14" s="34" t="s">
        <v>264</v>
      </c>
      <c r="AB14" s="34" t="s">
        <v>273</v>
      </c>
      <c r="AC14" s="34" t="s">
        <v>261</v>
      </c>
      <c r="AD14" s="34" t="s">
        <v>262</v>
      </c>
      <c r="AE14" s="34" t="s">
        <v>295</v>
      </c>
      <c r="AF14" s="34" t="s">
        <v>274</v>
      </c>
      <c r="AG14" s="34" t="s">
        <v>275</v>
      </c>
      <c r="AH14" s="34" t="s">
        <v>276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44468.902777777781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277</v>
      </c>
      <c r="AI15"/>
      <c r="AJ15"/>
    </row>
    <row r="16" spans="1:36" ht="105" x14ac:dyDescent="0.25">
      <c r="A16" s="34" t="s">
        <v>278</v>
      </c>
      <c r="B16" s="36">
        <v>44464</v>
      </c>
      <c r="C16" s="26" t="s">
        <v>246</v>
      </c>
      <c r="D16" s="37">
        <v>44468.290277777778</v>
      </c>
      <c r="E16" s="40" t="s">
        <v>248</v>
      </c>
      <c r="F16" s="40" t="s">
        <v>247</v>
      </c>
      <c r="G16" s="40" t="s">
        <v>249</v>
      </c>
      <c r="H16" s="27" t="s">
        <v>250</v>
      </c>
      <c r="I16" s="34" t="s">
        <v>296</v>
      </c>
      <c r="J16" s="34" t="s">
        <v>297</v>
      </c>
      <c r="K16" s="34" t="s">
        <v>298</v>
      </c>
      <c r="L16" s="34" t="s">
        <v>299</v>
      </c>
      <c r="M16" s="34" t="s">
        <v>300</v>
      </c>
      <c r="N16" s="27"/>
      <c r="O16" s="27"/>
      <c r="P16" s="27"/>
      <c r="Q16" s="26"/>
      <c r="R16" s="34" t="s">
        <v>301</v>
      </c>
      <c r="S16" s="34" t="s">
        <v>300</v>
      </c>
      <c r="T16" s="27"/>
      <c r="U16" s="27"/>
      <c r="V16" s="26"/>
      <c r="W16" s="26"/>
      <c r="X16" s="26"/>
      <c r="Y16" s="26"/>
      <c r="Z16" s="34" t="s">
        <v>302</v>
      </c>
      <c r="AA16" s="34" t="s">
        <v>264</v>
      </c>
      <c r="AB16" s="34" t="s">
        <v>303</v>
      </c>
      <c r="AC16" s="34" t="s">
        <v>304</v>
      </c>
      <c r="AD16" s="34" t="s">
        <v>305</v>
      </c>
      <c r="AE16" s="34" t="s">
        <v>306</v>
      </c>
      <c r="AF16" s="34" t="s">
        <v>307</v>
      </c>
      <c r="AG16" s="34" t="s">
        <v>308</v>
      </c>
      <c r="AH16" s="34" t="s">
        <v>309</v>
      </c>
      <c r="AI16"/>
      <c r="AJ16"/>
    </row>
    <row r="17" spans="1:36" ht="105" x14ac:dyDescent="0.25">
      <c r="A17" s="35" t="s">
        <v>243</v>
      </c>
      <c r="B17" s="36">
        <v>44466</v>
      </c>
      <c r="C17" s="26" t="s">
        <v>279</v>
      </c>
      <c r="D17" s="37">
        <v>44468.902777777781</v>
      </c>
      <c r="E17" s="40">
        <v>110</v>
      </c>
      <c r="F17" s="40" t="s">
        <v>280</v>
      </c>
      <c r="G17" s="40" t="s">
        <v>280</v>
      </c>
      <c r="H17" s="27" t="s">
        <v>293</v>
      </c>
      <c r="I17" s="34" t="s">
        <v>310</v>
      </c>
      <c r="J17" s="34" t="s">
        <v>311</v>
      </c>
      <c r="K17" s="34" t="s">
        <v>312</v>
      </c>
      <c r="L17" s="34" t="s">
        <v>313</v>
      </c>
      <c r="M17" s="34" t="s">
        <v>314</v>
      </c>
      <c r="N17" s="34" t="s">
        <v>315</v>
      </c>
      <c r="O17" s="27"/>
      <c r="P17" s="27"/>
      <c r="Q17" s="26"/>
      <c r="R17" s="35" t="s">
        <v>316</v>
      </c>
      <c r="S17" s="34" t="s">
        <v>317</v>
      </c>
      <c r="T17" s="34" t="s">
        <v>318</v>
      </c>
      <c r="U17" s="27"/>
      <c r="V17" s="26"/>
      <c r="W17" s="26"/>
      <c r="X17" s="35" t="s">
        <v>319</v>
      </c>
      <c r="Y17" s="26"/>
      <c r="Z17" s="27"/>
      <c r="AA17" s="27"/>
      <c r="AB17" s="34" t="s">
        <v>320</v>
      </c>
      <c r="AC17" s="27"/>
      <c r="AD17" s="27"/>
      <c r="AE17" s="27"/>
      <c r="AF17" s="35" t="s">
        <v>321</v>
      </c>
      <c r="AG17" s="27"/>
      <c r="AH17" s="34" t="s">
        <v>322</v>
      </c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2021-10-02T06:34:49Z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