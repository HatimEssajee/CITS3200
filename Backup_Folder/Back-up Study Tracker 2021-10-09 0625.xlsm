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D50EF9BA-37A1-4F4C-9D5A-1FA4E4F25C35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Report'!$A$10:$AH$16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2" i="1" l="1" a="1"/>
  <c r="FD12" i="1" s="1"/>
  <c r="FB12" i="1"/>
  <c r="FA12" i="1"/>
  <c r="EZ12" i="1"/>
  <c r="FD9" i="1" a="1"/>
  <c r="FD9" i="1" s="1"/>
  <c r="FB9" i="1"/>
  <c r="FA9" i="1"/>
  <c r="EZ9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2" i="1" l="1"/>
  <c r="FC9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<sst xmlns="http://schemas.openxmlformats.org/spreadsheetml/2006/main" count="494" uniqueCount="348">
  <si>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</si>
  <si>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</si>
  <si>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</si>
  <si>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</si>
  <si>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</si>
  <si>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</si>
  <si>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</si>
  <si>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</si>
  <si>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</si>
  <si>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</si>
  <si>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</si>
  <si>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</si>
  <si>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</si>
  <si>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</si>
  <si>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</si>
  <si>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</si>
  <si>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</si>
  <si>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</si>
  <si>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</si>
  <si>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</si>
  <si>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</si>
  <si>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</si>
  <si>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</si>
  <si>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</si>
  <si>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</si>
  <si>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</si>
  <si>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</si>
  <si>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</si>
  <si>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</si>
  <si>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</si>
  <si>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</si>
  <si>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</si>
  <si>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</si>
  <si>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</si>
  <si>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</si>
  <si>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</si>
  <si>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</si>
  <si>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</si>
  <si>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</si>
  <si>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</si>
  <si>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</si>
  <si>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</si>
  <si>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</si>
  <si>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</si>
  <si>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</si>
  <si>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</si>
  <si>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</si>
  <si>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</si>
  <si>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</si>
  <si>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</si>
  <si>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</si>
  <si>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</si>
  <si>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</si>
  <si>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</si>
  <si>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</si>
  <si>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</si>
  <si>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</si>
  <si>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</si>
  <si>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</si>
  <si>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</si>
  <si>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</si>
  <si>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</si>
  <si>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</si>
  <si>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</si>
  <si>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</si>
  <si>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</si>
  <si>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</si>
  <si>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</si>
  <si>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</si>
  <si>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</si>
  <si>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</si>
  <si>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</si>
  <si>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</si>
  <si>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</si>
  <si>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</si>
  <si>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</si>
  <si>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</si>
  <si>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</si>
  <si>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</si>
  <si>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</si>
  <si>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</si>
  <si>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</si>
  <si>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</si>
  <si>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</si>
  <si>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</si>
  <si>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</si>
  <si>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</si>
  <si>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</si>
  <si>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</si>
  <si>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</si>
  <si>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</si>
  <si>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</si>
  <si>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</si>
  <si>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</si>
  <si>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</si>
  <si>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</si>
  <si>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</si>
  <si>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</si>
  <si>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</si>
  <si>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</si>
  <si>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</si>
  <si>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</si>
  <si>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</si>
  <si>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</si>
  <si>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</si>
  <si>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</si>
  <si>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</si>
  <si>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</si>
  <si>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</si>
  <si>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</si>
  <si>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</si>
  <si>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</si>
  <si>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</si>
  <si>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</si>
  <si>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</si>
  <si>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</si>
  <si>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</si>
  <si>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</si>
  <si>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</si>
  <si>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</si>
  <si>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</si>
  <si>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</si>
  <si>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</si>
  <si>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</si>
  <si>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</si>
  <si>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</si>
  <si>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</si>
  <si>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</si>
  <si>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</si>
  <si>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</si>
  <si>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</si>
  <si>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</si>
  <si>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</si>
  <si>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</si>
  <si>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</si>
  <si>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</si>
  <si>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</si>
  <si>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</si>
  <si>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</si>
  <si>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</si>
  <si>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</si>
  <si>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</si>
  <si>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</si>
  <si>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</si>
  <si>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</si>
  <si>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</si>
  <si>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</si>
  <si>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</si>
  <si>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</si>
  <si>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</si>
  <si>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</si>
  <si>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</si>
  <si>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</si>
  <si>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</si>
  <si>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</si>
  <si>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</si>
  <si>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</si>
  <si>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</si>
  <si>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</si>
  <si>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</si>
  <si>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</si>
  <si>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</si>
  <si>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</si>
  <si>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</si>
  <si>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</si>
  <si>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</si>
  <si>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</si>
  <si>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</si>
  <si>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</si>
  <si>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</si>
  <si>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</si>
  <si>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</si>
  <si>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</si>
  <si>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</si>
  <si>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</si>
  <si>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</si>
  <si>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</si>
  <si>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</si>
  <si>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</si>
  <si>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</si>
  <si>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</si>
  <si>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</si>
  <si>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</si>
  <si>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</si>
  <si>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</si>
  <si>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</si>
  <si>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</si>
  <si>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</si>
  <si>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</si>
  <si>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</si>
  <si>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</si>
  <si>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</si>
  <si>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</si>
  <si>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</si>
  <si>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</si>
  <si>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</si>
  <si>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</si>
  <si>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</si>
  <si>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</si>
  <si>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</si>
  <si>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</si>
  <si>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</si>
  <si>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</si>
  <si>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</si>
  <si>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</si>
  <si>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</si>
  <si>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</si>
  <si>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</si>
  <si>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</si>
  <si>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</si>
  <si>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</si>
  <si>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</si>
  <si>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</si>
  <si>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</si>
  <si>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</si>
  <si>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</si>
  <si>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</si>
  <si>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</si>
  <si>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</si>
  <si>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</si>
  <si>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</si>
  <si>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</si>
  <si>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</si>
  <si>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</si>
  <si>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</si>
  <si>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</si>
  <si>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</si>
  <si>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</si>
  <si>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</si>
  <si>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</si>
  <si>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</si>
  <si>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</si>
  <si>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</si>
  <si>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</si>
  <si>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</si>
  <si>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</si>
  <si>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</si>
  <si>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</si>
  <si>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</si>
  <si>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</si>
  <si>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</si>
  <si>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</si>
  <si>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</si>
  <si>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</si>
  <si>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</si>
  <si>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</si>
  <si>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</si>
  <si>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</si>
  <si>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</si>
  <si>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</si>
  <si>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</si>
  <si>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</si>
  <si>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</si>
  <si>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</si>
  <si>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</si>
  <si>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</si>
  <si>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</si>
  <si>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</si>
  <si>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</si>
  <si>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</si>
  <si>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</si>
  <si>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</si>
  <si>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</si>
  <si>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</si>
  <si>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</si>
  <si>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</si>
  <si>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</si>
  <si>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</si>
  <si>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</si>
  <si>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</si>
  <si>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</si>
  <si>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</si>
  <si>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</si>
  <si>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</si>
  <si>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</si>
  <si>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</si>
  <si>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</si>
  <si>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</si>
  <si>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</si>
  <si>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</si>
  <si>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</si>
  <si>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</si>
  <si>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</si>
  <si>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</si>
  <si>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</si>
  <si>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</si>
  <si>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</si>
  <si>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</si>
  <si>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</si>
  <si>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</si>
  <si>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</si>
  <si>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</si>
  <si>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</si>
  <si>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</si>
  <si>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</si>
  <si>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</si>
  <si>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</si>
  <si>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</si>
  <si>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</si>
  <si>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</si>
  <si>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</si>
  <si>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</si>
  <si>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</si>
  <si>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</si>
  <si>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</si>
  <si>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</si>
  <si>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</si>
  <si>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</si>
  <si>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</si>
  <si>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</si>
  <si>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</si>
  <si>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</si>
  <si>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</si>
  <si>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</si>
  <si>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</si>
  <si>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</si>
  <si>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</si>
  <si>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</si>
  <si>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</si>
  <si>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</si>
  <si>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</si>
  <si>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</si>
  <si>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</si>
  <si>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</si>
  <si>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CAHS Complete
NMA Complete
WNHS Complete
Others Complete</t>
  </si>
  <si>
    <t>Ethics Commitee = ABCA Corpration
Date Submitted = 02-Aug-20
Date Approved = 01-Jan-20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</si>
  <si>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</si>
  <si>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</si>
  <si>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</si>
  <si>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</si>
  <si>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</si>
  <si>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</si>
  <si>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</si>
  <si>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</si>
  <si>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</si>
  <si>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</si>
  <si>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</si>
  <si>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</si>
  <si>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</si>
  <si>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</si>
  <si>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</si>
  <si>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</si>
  <si>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</si>
  <si>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</si>
  <si>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</si>
  <si>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</si>
  <si>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</si>
  <si>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Data retrieved 09-Oct-2021 06:03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</si>
</sst>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0" borderId="0" xfId="0" quotePrefix="1" applyFont="1" applyAlignment="1">
      <alignment horizontal="left" vertical="top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12</xdr:row>
      <xdr:rowOff>0</xdr:rowOff>
    </xdr:from>
    <xdr:to>
      <xdr:col>1</xdr:col>
      <xdr:colOff>1379220</xdr:colOff>
      <xdr:row>12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2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6" totalsRowShown="0" headerRowDxfId="37" dataDxfId="35">
  <autoFilter ref="A10:AI16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zoomScaleNormal="100" workbookViewId="0">
      <selection activeCell="H17" sqref="H17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" x14ac:dyDescent="0.35">
      <c r="C3" s="60">
        <v>1</v>
      </c>
      <c r="D3" s="50" t="s">
        <v>304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3">
      <c r="C4" s="49"/>
      <c r="D4" s="23" t="s">
        <v>303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3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3">
      <c r="C6" s="49"/>
      <c r="D6" s="23" t="s">
        <v>305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3">
      <c r="C7" s="49"/>
      <c r="D7" s="23" t="s">
        <v>307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3">
      <c r="C8" s="49"/>
      <c r="D8" s="52" t="s">
        <v>306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" thickBot="1" x14ac:dyDescent="0.35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3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" x14ac:dyDescent="0.35">
      <c r="C11" s="60">
        <v>2</v>
      </c>
      <c r="D11" s="50" t="s">
        <v>308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3">
      <c r="C12" s="49"/>
      <c r="D12" s="23" t="s">
        <v>309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3">
      <c r="C13" s="49"/>
      <c r="D13" s="58" t="s">
        <v>312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3">
      <c r="C14" s="49"/>
      <c r="D14" s="58" t="s">
        <v>313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3">
      <c r="C15" s="49"/>
      <c r="D15" s="58" t="s">
        <v>316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3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3">
      <c r="C17" s="49"/>
      <c r="D17" s="59" t="s">
        <v>314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3">
      <c r="C18" s="49"/>
      <c r="D18" s="58" t="s">
        <v>315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3">
      <c r="C19" s="49"/>
      <c r="D19" s="23" t="s">
        <v>310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3">
      <c r="C20" s="49"/>
      <c r="D20" s="23" t="s">
        <v>311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" thickBot="1" x14ac:dyDescent="0.35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3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" x14ac:dyDescent="0.35">
      <c r="C23" s="60">
        <v>3</v>
      </c>
      <c r="D23" s="50" t="s">
        <v>317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3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3">
      <c r="C25" s="49"/>
      <c r="D25" s="23"/>
      <c r="E25" s="23" t="s">
        <v>259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3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3">
      <c r="C27" s="49"/>
      <c r="D27" s="53">
        <v>1</v>
      </c>
      <c r="E27" s="23" t="s">
        <v>300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3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3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3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3">
      <c r="C31" s="49"/>
      <c r="D31" s="23"/>
      <c r="E31" s="53" t="s">
        <v>258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3">
      <c r="C32" s="49"/>
      <c r="D32" s="23"/>
      <c r="E32" s="53" t="s">
        <v>301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3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3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3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3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3">
      <c r="C37" s="49"/>
      <c r="D37" s="23"/>
      <c r="E37" s="23">
        <v>2</v>
      </c>
      <c r="F37" s="23" t="s">
        <v>257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3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" x14ac:dyDescent="0.35">
      <c r="C39" s="49"/>
      <c r="D39" s="23"/>
      <c r="E39" s="23"/>
      <c r="F39" s="50" t="s">
        <v>302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3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3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3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3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3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3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3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3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3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3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3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3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3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3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3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3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3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3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3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3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3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3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3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3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3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3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3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3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3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3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3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3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3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3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3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3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3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3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3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3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3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3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3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3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3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3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3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3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3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3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3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3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3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3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3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3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3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3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3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3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3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3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3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3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3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3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3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3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3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3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3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3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3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3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3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3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3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3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3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3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3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3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3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3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3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3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3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3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3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3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3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3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3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3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3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3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3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3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3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3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3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3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3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3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3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3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3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" x14ac:dyDescent="0.35">
      <c r="C147" s="49"/>
      <c r="D147" s="23"/>
      <c r="E147" s="23"/>
      <c r="F147" s="50" t="s">
        <v>256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3">
      <c r="C148" s="49"/>
      <c r="D148" s="23"/>
      <c r="E148" s="23"/>
      <c r="F148" s="23" t="s">
        <v>255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3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6" x14ac:dyDescent="0.3">
      <c r="C150" s="49"/>
      <c r="D150" s="23"/>
      <c r="E150" s="23"/>
      <c r="F150" s="54" t="s">
        <v>262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3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3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3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3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3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3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3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3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3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3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3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3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3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3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3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3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3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3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3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3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3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3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3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3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3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3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3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3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3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3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3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3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3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3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3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3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6" x14ac:dyDescent="0.3">
      <c r="C187" s="49"/>
      <c r="D187" s="23"/>
      <c r="E187" s="23"/>
      <c r="F187" s="54" t="s">
        <v>260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3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3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3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3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3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3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3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3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3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3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3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3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3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3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3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3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3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3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3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3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3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3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3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3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3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3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6" x14ac:dyDescent="0.3">
      <c r="C214" s="49"/>
      <c r="D214" s="23"/>
      <c r="E214" s="23"/>
      <c r="F214" s="54" t="s">
        <v>263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3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3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3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3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3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3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3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3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3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3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3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3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3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3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3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3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3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3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3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3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3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3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3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3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3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3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3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6" x14ac:dyDescent="0.3">
      <c r="C242" s="49"/>
      <c r="D242" s="23"/>
      <c r="E242" s="23"/>
      <c r="F242" s="54" t="s">
        <v>261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3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3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3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3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3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3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3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3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3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3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3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3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3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3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3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3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3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3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3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3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3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3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3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3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3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3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6" x14ac:dyDescent="0.3">
      <c r="C269" s="49"/>
      <c r="D269" s="23"/>
      <c r="E269" s="23"/>
      <c r="F269" s="54" t="s">
        <v>264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3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3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3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3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3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3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3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3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3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3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3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3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3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3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3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3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3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3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3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3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3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3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3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3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3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3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3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6" x14ac:dyDescent="0.3">
      <c r="C297" s="49"/>
      <c r="D297" s="23"/>
      <c r="E297" s="23"/>
      <c r="F297" s="54" t="s">
        <v>265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3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3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3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3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3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3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3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3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3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3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3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3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3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3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3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3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3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3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3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3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3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3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3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3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3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6" x14ac:dyDescent="0.3">
      <c r="C323" s="49"/>
      <c r="D323" s="23"/>
      <c r="E323" s="23"/>
      <c r="F323" s="54" t="s">
        <v>266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3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3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3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3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3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3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3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3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3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3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3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3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3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3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3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3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3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3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3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3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3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3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3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3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3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3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6" x14ac:dyDescent="0.3">
      <c r="C350" s="49"/>
      <c r="D350" s="23"/>
      <c r="E350" s="23"/>
      <c r="F350" s="54" t="s">
        <v>267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3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3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3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3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3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3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3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3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3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3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3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3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3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3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3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3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3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3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3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3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3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3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3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3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3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3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3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3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3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3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3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3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3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3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3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3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3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3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3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3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3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3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3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3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3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3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3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3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3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3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3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3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3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3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3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3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3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3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3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3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3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3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3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3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3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3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3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3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3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3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3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3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3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3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3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3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3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3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3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3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3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3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3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6" x14ac:dyDescent="0.3">
      <c r="C434" s="49"/>
      <c r="D434" s="23"/>
      <c r="E434" s="23"/>
      <c r="F434" s="54" t="s">
        <v>268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3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3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3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3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3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3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3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3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3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3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3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3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3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3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3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3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3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3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3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3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3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3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3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3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3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6" x14ac:dyDescent="0.3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3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3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3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3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3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3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3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3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3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3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3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3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3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3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3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3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3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3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3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3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3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3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3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3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3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3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6" x14ac:dyDescent="0.3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3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3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3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3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3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3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3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3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3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3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3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3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3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3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3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3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3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3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3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3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3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3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3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3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3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3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6" x14ac:dyDescent="0.3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3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3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3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3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3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3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3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3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3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3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3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3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3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3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3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3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3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3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3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3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3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3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3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3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3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3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" thickBot="1" x14ac:dyDescent="0.35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E18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L10" sqref="L10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customWidth="1" outlineLevel="1"/>
    <col min="17" max="17" width="35.33203125" style="1" customWidth="1" outlineLevel="2"/>
    <col min="18" max="18" width="40.5546875" style="1" customWidth="1" outlineLevel="2" collapsed="1"/>
    <col min="19" max="19" width="34.33203125" style="1" customWidth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customWidth="1" outlineLevel="1"/>
    <col min="27" max="27" width="31.5546875" style="1" customWidth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60" width="21.33203125" style="1" hidden="1" customWidth="1" outlineLevel="1"/>
    <col min="161" max="161" width="9.109375" style="1" collapsed="1"/>
    <col min="162" max="16384" width="9.109375" style="1"/>
  </cols>
  <sheetData>
    <row r="1" spans="4:160" outlineLevel="1" x14ac:dyDescent="0.3"/>
    <row r="2" spans="4:160" outlineLevel="1" x14ac:dyDescent="0.3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66" t="s">
        <v>0</v>
      </c>
      <c r="E4" s="66"/>
      <c r="F4" s="67" t="s">
        <v>1</v>
      </c>
      <c r="G4" s="67"/>
      <c r="H4" s="65" t="s">
        <v>2</v>
      </c>
      <c r="I4" s="65"/>
      <c r="J4" s="3" t="s">
        <v>289</v>
      </c>
      <c r="K4" s="68" t="s">
        <v>3</v>
      </c>
      <c r="L4" s="68"/>
      <c r="M4" s="68"/>
      <c r="N4" s="68"/>
      <c r="O4" s="68"/>
      <c r="P4" s="45"/>
      <c r="Q4" s="65" t="s">
        <v>4</v>
      </c>
      <c r="R4" s="65"/>
      <c r="S4" s="3"/>
      <c r="T4" s="3"/>
      <c r="U4" s="3"/>
      <c r="V4" s="3"/>
      <c r="W4" s="3"/>
      <c r="X4" s="3"/>
      <c r="Y4" s="65" t="s">
        <v>5</v>
      </c>
      <c r="Z4" s="65"/>
      <c r="AA4" s="3"/>
      <c r="AB4" s="3"/>
      <c r="AC4" s="3"/>
      <c r="AD4" s="3"/>
      <c r="AE4" s="65" t="s">
        <v>6</v>
      </c>
      <c r="AF4" s="65"/>
      <c r="AM4" s="65" t="s">
        <v>7</v>
      </c>
      <c r="AN4" s="65"/>
      <c r="AQ4" s="65" t="s">
        <v>8</v>
      </c>
      <c r="AR4" s="65"/>
      <c r="BL4" s="65" t="s">
        <v>9</v>
      </c>
      <c r="BM4" s="65"/>
      <c r="CQ4" s="65" t="s">
        <v>10</v>
      </c>
      <c r="CR4" s="65"/>
      <c r="DB4" s="65" t="s">
        <v>11</v>
      </c>
      <c r="DC4" s="65"/>
      <c r="DH4" s="65" t="s">
        <v>12</v>
      </c>
      <c r="DI4" s="65"/>
      <c r="DR4" s="65" t="s">
        <v>13</v>
      </c>
      <c r="DS4" s="65"/>
      <c r="DV4" s="65" t="s">
        <v>14</v>
      </c>
      <c r="DW4" s="65"/>
      <c r="DZ4" s="65" t="s">
        <v>15</v>
      </c>
      <c r="EA4" s="65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44478.251620370371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44477.592916666668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44478.251574074071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2" t="s">
        <v>321</v>
      </c>
      <c r="Q9" s="5">
        <v>44478.251539351855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3" t="s">
        <v>321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4" t="s">
        <v>319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4" t="s">
        <v>319</v>
      </c>
      <c r="AM9" s="5">
        <v>44477.389305555553</v>
      </c>
      <c r="AN9" s="6" t="s">
        <v>173</v>
      </c>
      <c r="AO9" s="18">
        <v>43926</v>
      </c>
      <c r="AP9" s="64" t="s">
        <v>319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3" t="s">
        <v>319</v>
      </c>
      <c r="AX9" s="4" t="s">
        <v>202</v>
      </c>
      <c r="AY9" s="18">
        <v>43831</v>
      </c>
      <c r="AZ9" s="18">
        <v>43856</v>
      </c>
      <c r="BA9" s="63" t="s">
        <v>319</v>
      </c>
      <c r="BB9" s="18">
        <v>43850</v>
      </c>
      <c r="BC9" s="18">
        <v>43854</v>
      </c>
      <c r="BD9" s="63" t="s">
        <v>319</v>
      </c>
      <c r="BE9" s="4"/>
      <c r="BF9" s="4"/>
      <c r="BG9" s="4"/>
      <c r="BH9" s="4" t="s">
        <v>322</v>
      </c>
      <c r="BI9" s="18">
        <v>44045</v>
      </c>
      <c r="BJ9" s="18">
        <v>43831</v>
      </c>
      <c r="BK9" s="69" t="s">
        <v>321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3" t="s">
        <v>319</v>
      </c>
      <c r="BR9" s="18">
        <v>44013</v>
      </c>
      <c r="BS9" s="18">
        <v>44017</v>
      </c>
      <c r="BT9" s="18">
        <v>44044</v>
      </c>
      <c r="BU9" s="63" t="s">
        <v>319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3" t="s">
        <v>319</v>
      </c>
      <c r="CW9" s="18">
        <v>44079</v>
      </c>
      <c r="CX9" s="63" t="s">
        <v>319</v>
      </c>
      <c r="CY9" s="18">
        <v>44044</v>
      </c>
      <c r="CZ9" s="18">
        <v>44104</v>
      </c>
      <c r="DA9" s="63" t="s">
        <v>319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4" t="s">
        <v>319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4" t="s">
        <v>319</v>
      </c>
      <c r="DR9" s="5">
        <v>44477.389594907407</v>
      </c>
      <c r="DS9" s="6" t="s">
        <v>173</v>
      </c>
      <c r="DT9" s="18">
        <v>44124</v>
      </c>
      <c r="DU9" s="64" t="s">
        <v>319</v>
      </c>
      <c r="DV9" s="5">
        <v>44477.389687499999</v>
      </c>
      <c r="DW9" s="6" t="s">
        <v>173</v>
      </c>
      <c r="DX9" s="18">
        <v>44593</v>
      </c>
      <c r="DY9" s="64" t="s">
        <v>319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4:160" x14ac:dyDescent="0.3">
      <c r="D10" s="5">
        <v>44473.627581018518</v>
      </c>
      <c r="E10" s="6" t="s">
        <v>269</v>
      </c>
      <c r="F10" s="5"/>
      <c r="G10" s="6"/>
      <c r="H10" s="5">
        <v>44477.592974537038</v>
      </c>
      <c r="I10" s="6" t="s">
        <v>173</v>
      </c>
      <c r="J10" s="4" t="s">
        <v>320</v>
      </c>
      <c r="K10" s="4">
        <v>212171</v>
      </c>
      <c r="L10" s="4" t="s">
        <v>270</v>
      </c>
      <c r="M10" s="4" t="s">
        <v>193</v>
      </c>
      <c r="N10" s="4" t="s">
        <v>193</v>
      </c>
      <c r="O10" s="4" t="s">
        <v>271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269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272</v>
      </c>
      <c r="BZ10" s="4"/>
      <c r="CA10" s="4"/>
      <c r="CB10" s="4"/>
      <c r="CC10" s="4" t="s">
        <v>272</v>
      </c>
      <c r="CD10" s="4"/>
      <c r="CE10" s="4"/>
      <c r="CF10" s="18">
        <v>44382</v>
      </c>
      <c r="CG10" s="4"/>
      <c r="CH10" s="4"/>
      <c r="CI10" s="4"/>
      <c r="CJ10" s="4"/>
      <c r="CK10" s="4" t="s">
        <v>273</v>
      </c>
      <c r="CL10" s="4" t="s">
        <v>274</v>
      </c>
      <c r="CM10" s="4"/>
      <c r="CN10" s="4"/>
      <c r="CO10" s="4"/>
      <c r="CP10" s="4" t="s">
        <v>275</v>
      </c>
      <c r="CQ10" s="5">
        <v>44473.629826388889</v>
      </c>
      <c r="CR10" s="6" t="s">
        <v>269</v>
      </c>
      <c r="CS10" s="18"/>
      <c r="CT10" s="18"/>
      <c r="CU10" s="18"/>
      <c r="CV10" s="18"/>
      <c r="CW10" s="18"/>
      <c r="CX10" s="18"/>
      <c r="CY10" s="18"/>
      <c r="CZ10" s="18"/>
      <c r="DA10" s="18" t="s">
        <v>277</v>
      </c>
      <c r="DB10" s="5">
        <v>44473.630543981482</v>
      </c>
      <c r="DC10" s="6" t="s">
        <v>269</v>
      </c>
      <c r="DD10" s="18"/>
      <c r="DE10" s="18"/>
      <c r="DF10" s="18"/>
      <c r="DG10" s="6" t="s">
        <v>276</v>
      </c>
      <c r="DH10" s="5">
        <v>44473.630115740743</v>
      </c>
      <c r="DI10" s="6" t="s">
        <v>269</v>
      </c>
      <c r="DJ10" s="18"/>
      <c r="DK10" s="18"/>
      <c r="DL10" s="18"/>
      <c r="DM10" s="18"/>
      <c r="DN10" s="18"/>
      <c r="DO10" s="18"/>
      <c r="DP10" s="18"/>
      <c r="DQ10" s="6" t="s">
        <v>278</v>
      </c>
      <c r="DR10" s="5">
        <v>44473.630659722221</v>
      </c>
      <c r="DS10" s="6" t="s">
        <v>269</v>
      </c>
      <c r="DT10" s="18"/>
      <c r="DU10" s="6" t="s">
        <v>279</v>
      </c>
      <c r="DV10" s="5">
        <v>44473.630729166667</v>
      </c>
      <c r="DW10" s="6" t="s">
        <v>269</v>
      </c>
      <c r="DX10" s="18">
        <v>44397</v>
      </c>
      <c r="DY10" s="6"/>
      <c r="DZ10" s="5">
        <v>44473.630891203706</v>
      </c>
      <c r="EA10" s="6" t="s">
        <v>269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269</v>
      </c>
      <c r="F11" s="5"/>
      <c r="G11" s="6"/>
      <c r="H11" s="5">
        <v>44477.558356481481</v>
      </c>
      <c r="I11" s="6" t="s">
        <v>173</v>
      </c>
      <c r="J11" s="4" t="s">
        <v>289</v>
      </c>
      <c r="K11" s="4" t="s">
        <v>290</v>
      </c>
      <c r="L11" s="4" t="s">
        <v>291</v>
      </c>
      <c r="M11" s="4" t="s">
        <v>189</v>
      </c>
      <c r="N11" s="4" t="s">
        <v>292</v>
      </c>
      <c r="O11" s="4" t="s">
        <v>293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269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269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294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269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D12" s="5">
        <v>44478.209004629629</v>
      </c>
      <c r="E12" s="6" t="s">
        <v>173</v>
      </c>
      <c r="F12" s="5"/>
      <c r="G12" s="6"/>
      <c r="H12" s="5">
        <v>44478.252511574072</v>
      </c>
      <c r="I12" s="6" t="s">
        <v>173</v>
      </c>
      <c r="J12" s="4" t="s">
        <v>174</v>
      </c>
      <c r="K12" s="4"/>
      <c r="L12" s="4" t="s">
        <v>323</v>
      </c>
      <c r="M12" s="4" t="s">
        <v>177</v>
      </c>
      <c r="N12" s="4"/>
      <c r="O12" s="4"/>
      <c r="P12" s="62" t="s">
        <v>321</v>
      </c>
      <c r="Q12" s="5">
        <v>44478.25167824074</v>
      </c>
      <c r="R12" s="6" t="s">
        <v>173</v>
      </c>
      <c r="S12" s="18">
        <v>43831</v>
      </c>
      <c r="T12" s="18"/>
      <c r="U12" s="18"/>
      <c r="V12" s="18"/>
      <c r="W12" s="18"/>
      <c r="X12" s="63" t="s">
        <v>321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4" t="s">
        <v>321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4" t="s">
        <v>321</v>
      </c>
      <c r="AM12" s="5">
        <v>44478.209409722222</v>
      </c>
      <c r="AN12" s="6" t="s">
        <v>173</v>
      </c>
      <c r="AO12" s="18"/>
      <c r="AP12" s="64" t="s">
        <v>321</v>
      </c>
      <c r="AQ12" s="5">
        <v>44478.237291666665</v>
      </c>
      <c r="AR12" s="6" t="s">
        <v>173</v>
      </c>
      <c r="AS12" s="18"/>
      <c r="AT12" s="18"/>
      <c r="AU12" s="18"/>
      <c r="AV12" s="18"/>
      <c r="AW12" s="63" t="s">
        <v>321</v>
      </c>
      <c r="AX12" s="4"/>
      <c r="AY12" s="18"/>
      <c r="AZ12" s="18"/>
      <c r="BA12" s="63" t="s">
        <v>321</v>
      </c>
      <c r="BB12" s="18"/>
      <c r="BC12" s="18"/>
      <c r="BD12" s="63" t="s">
        <v>321</v>
      </c>
      <c r="BE12" s="18"/>
      <c r="BF12" s="18"/>
      <c r="BG12" s="69" t="s">
        <v>321</v>
      </c>
      <c r="BH12" s="4"/>
      <c r="BI12" s="18"/>
      <c r="BJ12" s="4"/>
      <c r="BK12" s="69" t="s">
        <v>321</v>
      </c>
      <c r="BL12" s="5">
        <v>44478.252152777779</v>
      </c>
      <c r="BM12" s="6" t="s">
        <v>173</v>
      </c>
      <c r="BN12" s="18"/>
      <c r="BO12" s="18"/>
      <c r="BP12" s="18"/>
      <c r="BQ12" s="63" t="s">
        <v>321</v>
      </c>
      <c r="BR12" s="18"/>
      <c r="BS12" s="18"/>
      <c r="BT12" s="18"/>
      <c r="BU12" s="63" t="s">
        <v>321</v>
      </c>
      <c r="BV12" s="4"/>
      <c r="BW12" s="4"/>
      <c r="BX12" s="4"/>
      <c r="BY12" s="69" t="s">
        <v>321</v>
      </c>
      <c r="BZ12" s="4"/>
      <c r="CA12" s="4"/>
      <c r="CB12" s="4"/>
      <c r="CC12" s="69" t="s">
        <v>321</v>
      </c>
      <c r="CD12" s="4"/>
      <c r="CE12" s="4"/>
      <c r="CF12" s="18"/>
      <c r="CG12" s="69" t="s">
        <v>321</v>
      </c>
      <c r="CH12" s="4"/>
      <c r="CI12" s="4"/>
      <c r="CJ12" s="4"/>
      <c r="CK12" s="69" t="s">
        <v>321</v>
      </c>
      <c r="CL12" s="4"/>
      <c r="CM12" s="4"/>
      <c r="CN12" s="4"/>
      <c r="CO12" s="4"/>
      <c r="CP12" s="69" t="s">
        <v>321</v>
      </c>
      <c r="CQ12" s="5">
        <v>44478.252303240741</v>
      </c>
      <c r="CR12" s="6" t="s">
        <v>173</v>
      </c>
      <c r="CS12" s="18"/>
      <c r="CT12" s="18"/>
      <c r="CU12" s="18"/>
      <c r="CV12" s="63" t="s">
        <v>321</v>
      </c>
      <c r="CW12" s="18"/>
      <c r="CX12" s="63" t="s">
        <v>321</v>
      </c>
      <c r="CY12" s="18"/>
      <c r="CZ12" s="18"/>
      <c r="DA12" s="63" t="s">
        <v>321</v>
      </c>
      <c r="DB12" s="5">
        <v>44478.252418981479</v>
      </c>
      <c r="DC12" s="6" t="s">
        <v>173</v>
      </c>
      <c r="DD12" s="18"/>
      <c r="DE12" s="18"/>
      <c r="DF12" s="18"/>
      <c r="DG12" s="64" t="s">
        <v>321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4" t="s">
        <v>321</v>
      </c>
      <c r="DR12" s="5">
        <v>44478.252442129633</v>
      </c>
      <c r="DS12" s="6" t="s">
        <v>173</v>
      </c>
      <c r="DT12" s="18"/>
      <c r="DU12" s="64" t="s">
        <v>321</v>
      </c>
      <c r="DV12" s="5">
        <v>44478.252465277779</v>
      </c>
      <c r="DW12" s="6" t="s">
        <v>173</v>
      </c>
      <c r="DX12" s="18"/>
      <c r="DY12" s="64" t="s">
        <v>321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 t="b">
        <v>0</v>
      </c>
      <c r="EH12" s="6" t="b">
        <v>0</v>
      </c>
      <c r="EI12" s="6" t="b">
        <v>0</v>
      </c>
      <c r="EJ12" s="6" t="b">
        <v>0</v>
      </c>
      <c r="EK12" s="6" t="b">
        <v>0</v>
      </c>
      <c r="EL12" s="6" t="b">
        <v>0</v>
      </c>
      <c r="EM12" s="6" t="b">
        <v>0</v>
      </c>
      <c r="EN12" s="6" t="b">
        <v>0</v>
      </c>
      <c r="EO12" s="6" t="b">
        <v>0</v>
      </c>
      <c r="EP12" s="6" t="b">
        <v>0</v>
      </c>
      <c r="EQ12" s="6" t="b">
        <v>0</v>
      </c>
      <c r="ER12" s="6" t="b">
        <v>0</v>
      </c>
      <c r="ES12" s="6" t="b">
        <v>0</v>
      </c>
      <c r="ET12" s="6" t="b">
        <v>0</v>
      </c>
      <c r="EU12" s="6" t="b">
        <v>0</v>
      </c>
      <c r="EV12" s="6" t="b">
        <v>0</v>
      </c>
      <c r="EW12" s="6" t="b">
        <v>0</v>
      </c>
      <c r="EX12" s="6" t="b">
        <v>0</v>
      </c>
      <c r="EY12" s="6" t="b">
        <v>0</v>
      </c>
      <c r="EZ12" s="15" t="b">
        <f>IF(COUNTA(Register[[#This Row],[Ethics - CAHS Complete]:[Ethics - Others Complete]])=0, "",IF(COUNTIF(Register[[#This Row],[Ethics - CAHS Complete]:[Ethics - Others Complete]],TRUE)&gt;0,TRUE,FALSE))</f>
        <v>0</v>
      </c>
      <c r="FA12" s="15" t="b">
        <f>IF(COUNTA(Register[[#This Row],[Gov - PCH Complete]:[Gov - Others Complete]])=0,"",IF(COUNTIF(Register[[#This Row],[Gov - PCH Complete]:[Gov - Others Complete]],TRUE)&gt;0,TRUE,FALSE))</f>
        <v>0</v>
      </c>
      <c r="FB12" s="15" t="b">
        <f>IF(COUNTA(Register[[#This Row],[Budget - VTG Complete]:[Budget - Pharmacy Complete]])=0,"",IF(COUNTIF(Register[[#This Row],[Budget - VTG Complete]:[Budget - Pharmacy Complete]],TRUE)=3,TRUE,FALSE))</f>
        <v>0</v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4:160" x14ac:dyDescent="0.3"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7"/>
      <c r="K15" s="17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42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3">
      <c r="J16" s="16"/>
      <c r="K16" s="16"/>
    </row>
    <row r="17" spans="10:132" x14ac:dyDescent="0.3">
      <c r="J17" s="16"/>
      <c r="K17" s="16"/>
      <c r="M17" s="40"/>
    </row>
    <row r="18" spans="10:132" x14ac:dyDescent="0.3">
      <c r="EB18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workbookViewId="0">
      <pane xSplit="3" ySplit="10" topLeftCell="D16" activePane="bottomRight" state="frozen"/>
      <selection pane="topRight" activeCell="D1" sqref="D1"/>
      <selection pane="bottomLeft" activeCell="A9" sqref="A9"/>
      <selection pane="bottomRight" activeCell="B16" sqref="B16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33203125" style="31" hidden="1" customWidth="1"/>
    <col min="36" max="36" width="32.6640625" style="1" customWidth="1"/>
  </cols>
  <sheetData>
    <row r="1" spans="1:36" ht="18" x14ac:dyDescent="0.35">
      <c r="A1" s="43" t="s">
        <v>203</v>
      </c>
      <c r="C1" s="44" t="s">
        <v>347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204</v>
      </c>
      <c r="B3" s="20"/>
      <c r="I3" s="1"/>
      <c r="AB3" s="1"/>
      <c r="AJ3"/>
    </row>
    <row r="4" spans="1:36" x14ac:dyDescent="0.3">
      <c r="A4" t="s">
        <v>205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318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44478.251388888886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44477.592361111114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72.8" x14ac:dyDescent="0.3">
      <c r="A13" s="34" t="s">
        <v>174</v>
      </c>
      <c r="B13" s="35">
        <v>44452</v>
      </c>
      <c r="C13" s="25" t="s">
        <v>195</v>
      </c>
      <c r="D13" s="36">
        <v>44478.251388888886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4" t="s">
        <v>331</v>
      </c>
      <c r="M13" s="33" t="s">
        <v>324</v>
      </c>
      <c r="N13" s="33" t="s">
        <v>241</v>
      </c>
      <c r="O13" s="33" t="s">
        <v>242</v>
      </c>
      <c r="P13" s="33" t="s">
        <v>243</v>
      </c>
      <c r="Q13" s="25"/>
      <c r="R13" s="33" t="s">
        <v>325</v>
      </c>
      <c r="S13" s="33" t="s">
        <v>244</v>
      </c>
      <c r="T13" s="33" t="s">
        <v>245</v>
      </c>
      <c r="U13" s="33" t="s">
        <v>246</v>
      </c>
      <c r="V13" s="25"/>
      <c r="W13" s="25"/>
      <c r="X13" s="25"/>
      <c r="Y13" s="25"/>
      <c r="Z13" s="25"/>
      <c r="AA13" s="33" t="s">
        <v>251</v>
      </c>
      <c r="AB13" s="33" t="s">
        <v>247</v>
      </c>
      <c r="AC13" s="33" t="s">
        <v>248</v>
      </c>
      <c r="AD13" s="33" t="s">
        <v>249</v>
      </c>
      <c r="AE13" s="33" t="s">
        <v>250</v>
      </c>
      <c r="AF13" s="33" t="s">
        <v>252</v>
      </c>
      <c r="AG13" s="33" t="s">
        <v>253</v>
      </c>
      <c r="AH13" s="33" t="s">
        <v>254</v>
      </c>
      <c r="AI13" s="61">
        <v>4</v>
      </c>
    </row>
    <row r="14" spans="1:36" s="24" customFormat="1" ht="100.8" x14ac:dyDescent="0.3">
      <c r="A14" s="34" t="s">
        <v>320</v>
      </c>
      <c r="B14" s="35">
        <v>44473</v>
      </c>
      <c r="C14" s="25" t="s">
        <v>270</v>
      </c>
      <c r="D14" s="36">
        <v>44477.592361111114</v>
      </c>
      <c r="E14" s="32">
        <v>212171</v>
      </c>
      <c r="F14" s="32" t="s">
        <v>193</v>
      </c>
      <c r="G14" s="32" t="s">
        <v>193</v>
      </c>
      <c r="H14" s="26" t="s">
        <v>271</v>
      </c>
      <c r="I14" s="26"/>
      <c r="J14" s="26"/>
      <c r="K14" s="26"/>
      <c r="L14" s="26"/>
      <c r="M14" s="34" t="s">
        <v>280</v>
      </c>
      <c r="N14" s="26"/>
      <c r="O14" s="26"/>
      <c r="P14" s="34" t="s">
        <v>281</v>
      </c>
      <c r="Q14" s="34" t="s">
        <v>282</v>
      </c>
      <c r="R14" s="26"/>
      <c r="S14" s="34" t="s">
        <v>283</v>
      </c>
      <c r="T14" s="34" t="s">
        <v>284</v>
      </c>
      <c r="U14" s="34" t="s">
        <v>285</v>
      </c>
      <c r="V14" s="25"/>
      <c r="W14" s="25"/>
      <c r="X14" s="34" t="s">
        <v>286</v>
      </c>
      <c r="Y14" s="25"/>
      <c r="Z14" s="34" t="s">
        <v>287</v>
      </c>
      <c r="AA14" s="26"/>
      <c r="AB14" s="26"/>
      <c r="AC14" s="26"/>
      <c r="AD14" s="26"/>
      <c r="AE14" s="26"/>
      <c r="AF14" s="26"/>
      <c r="AG14" s="26"/>
      <c r="AH14" s="33" t="s">
        <v>288</v>
      </c>
      <c r="AI14" s="61">
        <v>5</v>
      </c>
    </row>
    <row r="15" spans="1:36" s="24" customFormat="1" ht="86.4" x14ac:dyDescent="0.3">
      <c r="A15" s="34" t="s">
        <v>289</v>
      </c>
      <c r="B15" s="35">
        <v>44473</v>
      </c>
      <c r="C15" s="25" t="s">
        <v>291</v>
      </c>
      <c r="D15" s="36">
        <v>44477.558333333334</v>
      </c>
      <c r="E15" s="32" t="s">
        <v>290</v>
      </c>
      <c r="F15" s="32" t="s">
        <v>189</v>
      </c>
      <c r="G15" s="32" t="s">
        <v>292</v>
      </c>
      <c r="H15" s="26" t="s">
        <v>293</v>
      </c>
      <c r="I15" s="33" t="s">
        <v>295</v>
      </c>
      <c r="J15" s="34" t="s">
        <v>296</v>
      </c>
      <c r="K15" s="26"/>
      <c r="L15" s="26"/>
      <c r="M15" s="33" t="s">
        <v>297</v>
      </c>
      <c r="N15" s="26"/>
      <c r="O15" s="34" t="s">
        <v>298</v>
      </c>
      <c r="P15" s="26"/>
      <c r="Q15" s="33" t="s">
        <v>299</v>
      </c>
      <c r="R15" s="26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ht="230.4" x14ac:dyDescent="0.3">
      <c r="A16" s="34" t="s">
        <v>174</v>
      </c>
      <c r="B16" s="35">
        <v>44478</v>
      </c>
      <c r="C16" s="25" t="s">
        <v>323</v>
      </c>
      <c r="D16" s="36">
        <v>44478.252083333333</v>
      </c>
      <c r="E16" s="34"/>
      <c r="F16" s="32" t="s">
        <v>177</v>
      </c>
      <c r="G16" s="34"/>
      <c r="H16" s="34" t="s">
        <v>326</v>
      </c>
      <c r="I16" s="34" t="s">
        <v>327</v>
      </c>
      <c r="J16" s="34" t="s">
        <v>328</v>
      </c>
      <c r="K16" s="34" t="s">
        <v>329</v>
      </c>
      <c r="L16" s="34" t="s">
        <v>330</v>
      </c>
      <c r="M16" s="34" t="s">
        <v>332</v>
      </c>
      <c r="N16" s="34" t="s">
        <v>333</v>
      </c>
      <c r="O16" s="34" t="s">
        <v>334</v>
      </c>
      <c r="P16" s="34" t="s">
        <v>335</v>
      </c>
      <c r="Q16" s="34" t="s">
        <v>335</v>
      </c>
      <c r="R16" s="34" t="s">
        <v>334</v>
      </c>
      <c r="S16" s="34" t="s">
        <v>336</v>
      </c>
      <c r="T16" s="34" t="s">
        <v>337</v>
      </c>
      <c r="U16" s="34" t="s">
        <v>337</v>
      </c>
      <c r="V16" s="34" t="s">
        <v>337</v>
      </c>
      <c r="W16" s="34" t="s">
        <v>337</v>
      </c>
      <c r="X16" s="34" t="s">
        <v>337</v>
      </c>
      <c r="Y16" s="34" t="s">
        <v>337</v>
      </c>
      <c r="Z16" s="34" t="s">
        <v>338</v>
      </c>
      <c r="AA16" s="34" t="s">
        <v>339</v>
      </c>
      <c r="AB16" s="34" t="s">
        <v>340</v>
      </c>
      <c r="AC16" s="34" t="s">
        <v>341</v>
      </c>
      <c r="AD16" s="34" t="s">
        <v>342</v>
      </c>
      <c r="AE16" s="34" t="s">
        <v>343</v>
      </c>
      <c r="AF16" s="34" t="s">
        <v>344</v>
      </c>
      <c r="AG16" s="34" t="s">
        <v>345</v>
      </c>
      <c r="AH16" s="34" t="s">
        <v>346</v>
      </c>
      <c r="AI16" s="61">
        <v>7</v>
      </c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2021-10-08T22:25:57Z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