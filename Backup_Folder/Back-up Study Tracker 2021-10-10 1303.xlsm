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Work\University_2018-19\Semester_2_2021\CITS3200\Project\CITS3200_22\"/>
    </mc:Choice>
  </mc:AlternateContent>
  <xr:revisionPtr revIDLastSave="0" documentId="8_{E11263FE-CE5A-49B3-B0ED-EE28B24477BB}" xr6:coauthVersionLast="47" xr6:coauthVersionMax="47" xr10:uidLastSave="{00000000-0000-0000-0000-000000000000}"/>
  <bookViews>
    <workbookView xWindow="-120" yWindow="-120" windowWidth="29040" windowHeight="15840" activeTab="1" xr2:uid="{1ABECFD8-9AF8-44EB-A383-5C62445662D9}"/>
  </bookViews>
  <sheets>
    <sheet name="User Guide" sheetId="12" r:id="rId1"/>
    <sheet name="Overview Report" sheetId="11" r:id="rId2"/>
    <sheet name="Register" sheetId="1" r:id="rId3"/>
  </sheets>
  <functionGroups builtInGroupCount="19"/>
  <definedNames>
    <definedName name="_xlnm._FilterDatabase" localSheetId="1" hidden="1">'Overview Report'!$A$11:$AH$25</definedName>
    <definedName name="GI_Team">OFFSET(#REF!,0,0,COUNTA(#REF!),1)</definedName>
    <definedName name="ImprovTypes">OFFSET(#REF!,0,0,COUNTA(#REF!),1)</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D19" i="1" l="1" a="1"/>
  <c r="FD19" i="1" s="1"/>
  <c r="FB19" i="1"/>
  <c r="FA19" i="1"/>
  <c r="EZ19" i="1"/>
  <c r="FD12" i="1" a="1"/>
  <c r="FD12" i="1" s="1"/>
  <c r="FB12" i="1"/>
  <c r="FA12" i="1"/>
  <c r="EZ12" i="1"/>
  <c r="FD9" i="1" a="1"/>
  <c r="FD9" i="1" s="1"/>
  <c r="FB9" i="1"/>
  <c r="FA9" i="1"/>
  <c r="EZ9" i="1"/>
  <c r="FD20" i="1" a="1"/>
  <c r="FD20" i="1" s="1"/>
  <c r="FB20" i="1"/>
  <c r="FA20" i="1"/>
  <c r="EZ20" i="1"/>
  <c r="FD18" i="1" a="1"/>
  <c r="FD18" i="1" s="1"/>
  <c r="FB18" i="1"/>
  <c r="FA18" i="1"/>
  <c r="EZ18" i="1"/>
  <c r="FD17" i="1" a="1"/>
  <c r="FD17" i="1" s="1"/>
  <c r="FB17" i="1"/>
  <c r="FA17" i="1"/>
  <c r="EZ17" i="1"/>
  <c r="FD16" i="1" a="1"/>
  <c r="FD16" i="1" s="1"/>
  <c r="FB16" i="1"/>
  <c r="FA16" i="1"/>
  <c r="EZ16" i="1"/>
  <c r="FD15" i="1" a="1"/>
  <c r="FD15" i="1" s="1"/>
  <c r="FB15" i="1"/>
  <c r="FA15" i="1"/>
  <c r="EZ15" i="1"/>
  <c r="FD14" i="1" a="1"/>
  <c r="FD14" i="1" s="1"/>
  <c r="FB14" i="1"/>
  <c r="FA14" i="1"/>
  <c r="EZ14" i="1"/>
  <c r="FD13" i="1" a="1"/>
  <c r="FD13" i="1" s="1"/>
  <c r="FB13" i="1"/>
  <c r="FA13" i="1"/>
  <c r="EZ13" i="1"/>
  <c r="FD6" i="1" a="1"/>
  <c r="FD6" i="1" s="1"/>
  <c r="FB6" i="1"/>
  <c r="FA6" i="1"/>
  <c r="EZ6" i="1"/>
  <c r="FD11" i="1" a="1"/>
  <c r="FD11" i="1" s="1"/>
  <c r="FB11" i="1"/>
  <c r="FA11" i="1"/>
  <c r="EZ11" i="1"/>
  <c r="FD10" i="1" a="1"/>
  <c r="FD10" i="1" s="1"/>
  <c r="FB10" i="1"/>
  <c r="FA10" i="1"/>
  <c r="EZ10" i="1"/>
  <c r="FD7" i="1" a="1"/>
  <c r="FD7" i="1" s="1"/>
  <c r="FD8" i="1" a="1"/>
  <c r="FD8" i="1" s="1"/>
  <c r="FB7" i="1"/>
  <c r="FA7" i="1"/>
  <c r="EZ7" i="1"/>
  <c r="FB8" i="1"/>
  <c r="FA8" i="1"/>
  <c r="EZ8" i="1"/>
  <c r="FC19" i="1" l="1"/>
  <c r="FC12" i="1"/>
  <c r="FC9" i="1"/>
  <c r="FC20" i="1"/>
  <c r="FC18" i="1"/>
  <c r="FC16" i="1"/>
  <c r="FC17" i="1"/>
  <c r="FC15" i="1"/>
  <c r="FC14" i="1"/>
  <c r="FC13" i="1"/>
  <c r="FC6" i="1"/>
  <c r="FC11" i="1"/>
  <c r="FC10" i="1"/>
  <c r="FC7" i="1"/>
  <c r="FC8" i="1"/>
</calcChain>
</file>

<file path=xl/sharedStrings.xml><?xml version="1.0" encoding="utf-8"?>
<sst xmlns="http://schemas.openxmlformats.org/spreadsheetml/2006/main" count="1087" uniqueCount="387">
  <si>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</si>
  <si>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</si>
  <si>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</si>
  <si>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</si>
  <si>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</si>
  <si>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</si>
  <si>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</si>
  <si>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</si>
  <si>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</si>
  <si>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</si>
  <si>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</si>
  <si>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</si>
  <si>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</si>
  <si>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</si>
  <si>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</si>
  <si>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</si>
  <si>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</si>
  <si>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</si>
  <si>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</si>
  <si>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</si>
  <si>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</si>
  <si>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</si>
  <si>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Study Status</t>
  </si>
  <si>
    <t>Protocol No.</t>
  </si>
  <si>
    <t>Study Name</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</si>
  <si>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</si>
  <si>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</si>
  <si>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</si>
  <si>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</si>
  <si>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</si>
  <si>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</si>
  <si>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</si>
  <si>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</si>
  <si>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</si>
  <si>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</si>
  <si>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</si>
  <si>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</si>
  <si>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</si>
  <si>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</si>
  <si>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</si>
  <si>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</si>
  <si>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</si>
  <si>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</si>
  <si>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</si>
  <si>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</si>
  <si>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</si>
  <si>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</si>
  <si>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</si>
  <si>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</si>
  <si>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</si>
  <si>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</si>
  <si>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</si>
  <si>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</si>
  <si>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</si>
  <si>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</si>
  <si>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</si>
  <si>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</si>
  <si>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</si>
  <si>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</si>
  <si>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</si>
  <si>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</si>
  <si>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</si>
  <si>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</si>
  <si>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</si>
  <si>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</si>
  <si>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</si>
  <si>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</si>
  <si>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</si>
  <si>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</si>
  <si>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</si>
  <si>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</si>
  <si>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</si>
  <si>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</si>
  <si>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</si>
  <si>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</si>
  <si>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</si>
  <si>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</si>
  <si>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</si>
  <si>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</si>
  <si>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</si>
  <si>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</si>
  <si>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</si>
  <si>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</si>
  <si>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</si>
  <si>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</si>
  <si>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</si>
  <si>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</si>
  <si>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</si>
  <si>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</si>
  <si>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</si>
  <si>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</si>
  <si>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</si>
  <si>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</si>
  <si>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</si>
  <si>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</si>
  <si>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</si>
  <si>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</si>
  <si>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</si>
  <si>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</si>
  <si>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</si>
  <si>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</si>
  <si>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</si>
  <si>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</si>
  <si>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</si>
  <si>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</si>
  <si>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</si>
  <si>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</si>
  <si>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</si>
  <si>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</si>
  <si>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</si>
  <si>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</si>
  <si>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</si>
  <si>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</si>
  <si>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</si>
  <si>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</si>
  <si>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</si>
  <si>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</si>
  <si>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</si>
  <si>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</si>
  <si>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</si>
  <si>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</si>
  <si>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</si>
  <si>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</si>
  <si>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</si>
  <si>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</si>
  <si>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</si>
  <si>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</si>
  <si>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</si>
  <si>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</si>
  <si>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</si>
  <si>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</si>
  <si>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</si>
  <si>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</si>
  <si>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</si>
  <si>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</si>
  <si>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</si>
  <si>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</si>
  <si>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</si>
  <si>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</si>
  <si>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</si>
  <si>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</si>
  <si>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</si>
  <si>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</si>
  <si>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</si>
  <si>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</si>
  <si>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</si>
  <si>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</si>
  <si>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</si>
  <si>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</si>
  <si>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</si>
  <si>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</si>
  <si>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</si>
  <si>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</si>
  <si>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</si>
  <si>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</si>
  <si>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</si>
  <si>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</si>
  <si>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</si>
  <si>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</si>
  <si>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</si>
  <si>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</si>
  <si>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</si>
  <si>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</si>
  <si>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</si>
  <si>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</si>
  <si>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</si>
  <si>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</si>
  <si>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</si>
  <si>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</si>
  <si>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</si>
  <si>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</si>
  <si>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</si>
  <si>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</si>
  <si>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Valued Customer</t>
  </si>
  <si>
    <t>Pre-commencement</t>
  </si>
  <si>
    <t>Protocol 1</t>
  </si>
  <si>
    <t>Study 1</t>
  </si>
  <si>
    <t>Sponsor 1</t>
  </si>
  <si>
    <t>CRO 1</t>
  </si>
  <si>
    <t>Age 1</t>
  </si>
  <si>
    <t>Reminder to call Person 1</t>
  </si>
  <si>
    <t>Protocol 2</t>
  </si>
  <si>
    <t>Study 2</t>
  </si>
  <si>
    <t>Sponsor 2</t>
  </si>
  <si>
    <t>CRO 2</t>
  </si>
  <si>
    <t>Call Mr M to followup on 17th October</t>
  </si>
  <si>
    <t>DELETED</t>
  </si>
  <si>
    <t>PSM123</t>
  </si>
  <si>
    <t>Foxtrot Charlie</t>
  </si>
  <si>
    <t>Pfizer</t>
  </si>
  <si>
    <t>CRO 4</t>
  </si>
  <si>
    <t>A</t>
  </si>
  <si>
    <t>C</t>
  </si>
  <si>
    <t>GSK</t>
  </si>
  <si>
    <t>PNUM-12343</t>
  </si>
  <si>
    <t>Full example study</t>
  </si>
  <si>
    <t>ABC</t>
  </si>
  <si>
    <t>CRO</t>
  </si>
  <si>
    <t>Children ages 1 to 5</t>
  </si>
  <si>
    <t>HE</t>
  </si>
  <si>
    <t>Virtual</t>
  </si>
  <si>
    <t>On-site</t>
  </si>
  <si>
    <t>NMT</t>
  </si>
  <si>
    <t>Completed activity</t>
  </si>
  <si>
    <t>Incomplete activity</t>
  </si>
  <si>
    <t>Date Created</t>
  </si>
  <si>
    <t>Date Last Updated</t>
  </si>
  <si>
    <t>Protocol Number</t>
  </si>
  <si>
    <t>Sponsor</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</si>
  <si>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</si>
  <si>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</si>
  <si>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</si>
  <si>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</si>
  <si>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</si>
  <si>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</si>
  <si>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</si>
  <si>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</si>
  <si>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</si>
  <si>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</si>
  <si>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</si>
  <si>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</si>
  <si>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</si>
  <si>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</si>
  <si>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</si>
  <si>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</si>
  <si>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</si>
  <si>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</si>
  <si>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</si>
  <si>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Overall Budget Approval</t>
  </si>
  <si>
    <t>VTG Budget Approval</t>
  </si>
  <si>
    <t>TKI Budget Approval</t>
  </si>
  <si>
    <t>Pharmacy Quotation</t>
  </si>
  <si>
    <t>Indemnity</t>
  </si>
  <si>
    <t>CTRA</t>
  </si>
  <si>
    <t>Financial Disclosure</t>
  </si>
  <si>
    <t>SIV</t>
  </si>
  <si>
    <t>Edit Record will open up a new form where there is different tabs to select on to input details such as Study Detail, CDA, Feasibility,etc.</t>
  </si>
  <si>
    <t>EDIT RECORD FORM</t>
  </si>
  <si>
    <t>The form will always pop up in the top left corner of the excel sheet.</t>
  </si>
  <si>
    <t>All Data Entries and edits will be done via the userform</t>
  </si>
  <si>
    <t>Step by step guide to open and go through the form</t>
  </si>
  <si>
    <t>CDA PAGE</t>
  </si>
  <si>
    <t>SITE SELECTION</t>
  </si>
  <si>
    <t>STUDY DETAIL PAGE</t>
  </si>
  <si>
    <t>FEASIBILITY</t>
  </si>
  <si>
    <t>RECRUITMENT PLAN</t>
  </si>
  <si>
    <t>ETHICS REVIEW</t>
  </si>
  <si>
    <t>Governance Review</t>
  </si>
  <si>
    <t>Budget Review</t>
  </si>
  <si>
    <t>Indemnity Review</t>
  </si>
  <si>
    <t>ACER</t>
  </si>
  <si>
    <t>GRACE</t>
  </si>
  <si>
    <t>pregnant women 18-49 y/o</t>
  </si>
  <si>
    <t>In progress</t>
  </si>
  <si>
    <t>in progress</t>
  </si>
  <si>
    <t>Midland</t>
  </si>
  <si>
    <t>In Progress</t>
  </si>
  <si>
    <t>Needs Resigning with Nick Wood</t>
  </si>
  <si>
    <t>Quote and service agreement signed</t>
  </si>
  <si>
    <t>Needs resigning</t>
  </si>
  <si>
    <t>Done</t>
  </si>
  <si>
    <t>Commenced</t>
  </si>
  <si>
    <t>C3671008</t>
  </si>
  <si>
    <t>Matisse</t>
  </si>
  <si>
    <t>ICON</t>
  </si>
  <si>
    <t>Pregnant women and babies</t>
  </si>
  <si>
    <t>Monash Health</t>
  </si>
  <si>
    <t>All Date and Time are expected to be in DD-MMM-YYY</t>
  </si>
  <si>
    <t>Navigation F</t>
  </si>
  <si>
    <t>Application Environment Needed</t>
  </si>
  <si>
    <t>https://www.ablebits.com/office-addins-blog/2020/03/11/enable-disable-macros-excel/</t>
  </si>
  <si>
    <t>Application Architecture</t>
  </si>
  <si>
    <t>Unless necessary it is recommended for users to work off the Overview Report worksheet instead.</t>
  </si>
  <si>
    <t>Note:</t>
  </si>
  <si>
    <t>Using Data-Entry Userforms</t>
  </si>
  <si>
    <t>Register Index</t>
  </si>
  <si>
    <t>0123456789111111111111111111111111111111111111111111111111111111111111111111111111111111111111111111111111111111111111111111111111111111111111111111111111111111111111111111111111111111111111111111111111111111111111111111111111111111111111110123456789</t>
  </si>
  <si>
    <t>Not Going Ahead</t>
  </si>
  <si>
    <t>01234567891111111111111111111111111111111111111111111111111111111111111111111111111111111111111111111111111111111111111111111111111111111111111111111111111111111111111111111111111111111111110123456789</t>
  </si>
  <si>
    <t>ABCA Corpration</t>
  </si>
  <si>
    <t>Incomplete</t>
  </si>
  <si>
    <t>13-Sep-2021</t>
  </si>
  <si>
    <t>1</t>
  </si>
  <si>
    <t xml:space="preserve">
Reminder:
Call Mr M to followup on 17th October</t>
  </si>
  <si>
    <t>2</t>
  </si>
  <si>
    <t>09-Oct-2021 06:02</t>
  </si>
  <si>
    <t xml:space="preserve">Date Recv. Sponsor = 10-Jan-20
Date Sent Contracts = 12-Jan-20
Date Recv. Contracts = 02-Feb-20
Date Sent Sponsor = 01-Mar-20
Date Finalised = 31-Mar-20
</t>
  </si>
  <si>
    <t>Date Recv. = 15-Jan-20
Date Completed = 31-Mar-20; HE</t>
  </si>
  <si>
    <t>Pre-study visit = 20-Mar-20; Virtual
Valid. visit = 27-Mar-20; On-site
Date Site Selected = 01-Apr-20</t>
  </si>
  <si>
    <t>Plan. Meeting = 05-Apr-20
Reminder:
0123456789111111111111111111111111111111111111111111111111111111111111111111111111111111111111111111111111111111111111111111111111111111111111111111111111111111111111111111111111111111111111111111111111111111111111111111111111111111111111110123456789</t>
  </si>
  <si>
    <t>CAHS Complete
NMA Complete
WNHS Complete
Others Complete</t>
  </si>
  <si>
    <t>Date Submitted = 01-Jun-20
Date Responded = 01-Sep-21
Date Resubmitted = 01-Feb-21
Date Approved = 30-Jun-20</t>
  </si>
  <si>
    <t>Ethics Commitee = NMT
Date Submitted = 01-Jan-20
Date Approved = 26-Jan-20</t>
  </si>
  <si>
    <t>Date Submitted = 20-Jan-20
Date Approved = 24-Jan-20</t>
  </si>
  <si>
    <t>Ethics Commitee = ABCA Corpration
Date Submitted = 02-Aug-20
Date Approved = 01-Jan-20</t>
  </si>
  <si>
    <t>PCH Complete
TKI Complete</t>
  </si>
  <si>
    <t>Date Submitted = 01-Jun-20
Date Responded = 05-May-20
Date Approved = 09-Sep-20</t>
  </si>
  <si>
    <t>Date Submitted = 01-Jul-20
Date Responded = 05-Jul-20
Date Approved = 01-Aug-20</t>
  </si>
  <si>
    <t>Date Received = 01-Nov-20
Date Sent Contracts = 01-Nov-20
Date Completed = 01-Jan-21</t>
  </si>
  <si>
    <t>VTG Complete
TKI Complete
Pharmacy Complete</t>
  </si>
  <si>
    <t>Date Finalised = 01-Aug-20
Date Submitted Finance = 15-Aug-20
Date Approved = 01-Sep-20</t>
  </si>
  <si>
    <t>Date Approved = 05-Sep-20</t>
  </si>
  <si>
    <t>Date Quote Recv. = 01-Aug-20
Date PO Finalised = 30-Sep-20</t>
  </si>
  <si>
    <t>Date Submitted R,G&amp;C = 01-May-20
Date UWA Review = 03-May-20
Date Finance Review = 04-May-20
Date COO/CFO Sign-off = 06-May-20
Date VTG Sign-off = 06-May-20
Date Subm. Company = 07-May-20
Date Finalised = 08-May-20</t>
  </si>
  <si>
    <t>Date Completed = 20-Oct-20</t>
  </si>
  <si>
    <t>Date of SIV = 01-Feb-22</t>
  </si>
  <si>
    <t>4</t>
  </si>
  <si>
    <t>04-Oct-2021</t>
  </si>
  <si>
    <t>212171</t>
  </si>
  <si>
    <t>WNHS Incomplete
SJOG Incomplete</t>
  </si>
  <si>
    <t>Date Submitted = 
Date Approved = 26-May-21</t>
  </si>
  <si>
    <t>Date Submitted = 
Date Approved = 11-Jun-21</t>
  </si>
  <si>
    <t>PCH Incomplete
TKI Incomplete
SJOG Mt Lawley Incomplete
Others Incomplete</t>
  </si>
  <si>
    <t>Date Submitted = 
Date Responded = 
Date Approved = 05-Jun-21</t>
  </si>
  <si>
    <t>Date Submitted = 
Date Responded = 
Date Approved = 09-Jun-21</t>
  </si>
  <si>
    <t>Date Submitted = 
Date Responded = 
Date Approved = 05-Jul-21</t>
  </si>
  <si>
    <t>Gov. Body = Midland
Date Submitted = 
Date Responded = 
Date Approved = 
Reminder:
In Progress</t>
  </si>
  <si>
    <t>Date of SIV = 20-Jul-21</t>
  </si>
  <si>
    <t>5</t>
  </si>
  <si>
    <t xml:space="preserve">Date Recv. Sponsor = 01-Jul-20
Date Sent Contracts = 02-Jul-20
Date Recv. Contracts = 03-Jul-20
Date Sent Sponsor = 04-Jul-20
Date Finalised = 05-Jul-20
</t>
  </si>
  <si>
    <t xml:space="preserve">Date Recv. = 06-Jul-20
Date Completed = 07-Jul-20; </t>
  </si>
  <si>
    <t>SJOG Complete</t>
  </si>
  <si>
    <t>Ethics Commitee = Monash Health
Date Submitted = 
Date Approved = 15-Jul-20</t>
  </si>
  <si>
    <t>Date Submitted = 09-Jul-20
Date Approved = 16-Jul-20</t>
  </si>
  <si>
    <t>6</t>
  </si>
  <si>
    <t>09-Oct-2021</t>
  </si>
  <si>
    <t>09-Oct-2021 06:03</t>
  </si>
  <si>
    <t xml:space="preserve">
Reminder:
01234567891111111111111111111111111111111111111111111111111111111111111111111111111111111111111111111111111111111111111111111111111111111111111111111111111111111111111111111111111111111111110123456789</t>
  </si>
  <si>
    <t>Date Recv. Sponsor = 01-Jan-20
Date Sent Contracts = 
Date Recv. Contracts = 
Date Sent Sponsor = 
Date Finalised = 
Reminder:
01234567891111111111111111111111111111111111111111111111111111111111111111111111111111111111111111111111111111111111111111111111111111111111111111111111111111111111111111111111111111111111110123456789</t>
  </si>
  <si>
    <t>Date Recv. = 01-Jan-20
Date Completed = ; 
Reminder:
01234567891111111111111111111111111111111111111111111111111111111111111111111111111111111111111111111111111111111111111111111111111111111111111111111111111111111111111111111111111111111111110123456789</t>
  </si>
  <si>
    <t>Pre-study visit = 01-Jan-20; Virtual
Valid. visit = ; 
Date Site Selected = 
Reminder:
01234567891111111111111111111111111111111111111111111111111111111111111111111111111111111111111111111111111111111111111111111111111111111111111111111111111111111111111111111111111111111111110123456789</t>
  </si>
  <si>
    <t>Plan. Meeting = 
Reminder:
01234567891111111111111111111111111111111111111111111111111111111111111111111111111111111111111111111111111111111111111111111111111111111111111111111111111111111111111111111111111111111111110123456789</t>
  </si>
  <si>
    <t>CAHS Incomplete
NMA Incomplete
WNHS Incomplete
SJOG Incomplete
Others Incomplete</t>
  </si>
  <si>
    <t>Date Submitted = 
Date Responded = 
Date Resubmitted = 
Date Approved = 
Reminder:
01234567891111111111111111111111111111111111111111111111111111111111111111111111111111111111111111111111111111111111111111111111111111111111111111111111111111111111111111111111111111111111110123456789</t>
  </si>
  <si>
    <t>Ethics Commitee = 
Date Submitted = 
Date Approved = 
Reminder:
01234567891111111111111111111111111111111111111111111111111111111111111111111111111111111111111111111111111111111111111111111111111111111111111111111111111111111111111111111111111111111111110123456789</t>
  </si>
  <si>
    <t>Date Submitted = 
Date Approved = 
Reminder:
01234567891111111111111111111111111111111111111111111111111111111111111111111111111111111111111111111111111111111111111111111111111111111111111111111111111111111111111111111111111111111111110123456789</t>
  </si>
  <si>
    <t>PCH Incomplete
TKI Incomplete
KEMH Incomplete
SJOG Subiaco Incomplete
SJOG Mt Lawley Incomplete
SJOG Murdoch Incomplete
Others Incomplete</t>
  </si>
  <si>
    <t>Date Submitted = 
Date Responded = 
Date Approved = 
Reminder:
01234567891111111111111111111111111111111111111111111111111111111111111111111111111111111111111111111111111111111111111111111111111111111111111111111111111111111111111111111111111111111111110123456789</t>
  </si>
  <si>
    <t>Gov. Body = 
Date Submitted = 
Date Responded = 
Date Approved = 
Reminder:
01234567891111111111111111111111111111111111111111111111111111111111111111111111111111111111111111111111111111111111111111111111111111111111111111111111111111111111111111111111111111111111110123456789</t>
  </si>
  <si>
    <t>Date Received = 
Date Sent Contracts = 
Date Completed = 
Reminder:
01234567891111111111111111111111111111111111111111111111111111111111111111111111111111111111111111111111111111111111111111111111111111111111111111111111111111111111111111111111111111111111110123456789</t>
  </si>
  <si>
    <t>VTG Incomplete
TKI Incomplete
Pharmacy Incomplete</t>
  </si>
  <si>
    <t>Date Finalised = 
Date Submitted Finance = 
Date Approved = 
Reminder:
01234567891111111111111111111111111111111111111111111111111111111111111111111111111111111111111111111111111111111111111111111111111111111111111111111111111111111111111111111111111111111111110123456789</t>
  </si>
  <si>
    <t>Date Approved = 
Reminder:
01234567891111111111111111111111111111111111111111111111111111111111111111111111111111111111111111111111111111111111111111111111111111111111111111111111111111111111111111111111111111111111110123456789</t>
  </si>
  <si>
    <t>Date Quote Recv. = 
Date PO Finalised = 
Reminder:
01234567891111111111111111111111111111111111111111111111111111111111111111111111111111111111111111111111111111111111111111111111111111111111111111111111111111111111111111111111111111111111110123456789</t>
  </si>
  <si>
    <t>Date Submitted R,G&amp;C = 
Date UWA Review = 
Date Finance Review = 
Date COO/CFO Sign-off = 
Date VTG Sign-off = 
Date Subm. Company = 
Date Finalised = 
Reminder:
01234567891111111111111111111111111111111111111111111111111111111111111111111111111111111111111111111111111111111111111111111111111111111111111111111111111111111111111111111111111111111111110123456789</t>
  </si>
  <si>
    <t>Date Completed = 
Reminder:
01234567891111111111111111111111111111111111111111111111111111111111111111111111111111111111111111111111111111111111111111111111111111111111111111111111111111111111111111111111111111111111110123456789</t>
  </si>
  <si>
    <t>Date of SIV = 
Reminder:
01234567891111111111111111111111111111111111111111111111111111111111111111111111111111111111111111111111111111111111111111111111111111111111111111111111111111111111111111111111111111111111110123456789</t>
  </si>
  <si>
    <t>7</t>
  </si>
  <si>
    <t>8</t>
  </si>
  <si>
    <t>9</t>
  </si>
  <si>
    <t>10</t>
  </si>
  <si>
    <t>11</t>
  </si>
  <si>
    <t>12</t>
  </si>
  <si>
    <t>13</t>
  </si>
  <si>
    <t>14</t>
  </si>
  <si>
    <t>15</t>
  </si>
  <si>
    <t xml:space="preserve">Date Submitted = 
Date Approved = </t>
  </si>
  <si>
    <t>10-Oct-2021 00:45</t>
  </si>
  <si>
    <t>10-Oct-2021 00:46</t>
  </si>
  <si>
    <t>ONLY USE SHEET FOR BULK EDITS</t>
  </si>
  <si>
    <t>Please do not edit the structure of this table</t>
  </si>
  <si>
    <t>10-Oct-2021 11:48</t>
  </si>
  <si>
    <t>Vaccine Trials Group Study Start-ups</t>
  </si>
  <si>
    <t>The application is designed to work with MS Excel version 2010 or later. No additional plugins are needed to run the application.</t>
  </si>
  <si>
    <t>10-Oct-2021 11:49</t>
  </si>
  <si>
    <t>Click on the button similar to the button below in the "Overview Report" or "Register" worksheet</t>
  </si>
  <si>
    <t>To run the application, it is necessary to "Enable use of Macros". A good guide to applying the settings is found via link below:</t>
  </si>
  <si>
    <t>The application at minimum will cater for display resolution with 100% scaling of 1280 x 800 to be able to view data entry userforms in their entirety.</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</si>
  <si>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</si>
  <si>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</si>
  <si>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</si>
  <si>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Making of Bulk Changes</t>
  </si>
  <si>
    <t>Users are able to make bulk changes to the register by directly editing the register table. However, doing so will bypass version controls in place.</t>
  </si>
  <si>
    <t>The application comprised of three interlinked parts:
- A register table located in the "Register" worksheet that stores all collected data (the core of the application)
- A set of userforms to enable users to navigate the register table and add, edit or delete entries in the register table
- A macro driven overview report that summarizes all data in the register table and supplys them for review.</t>
  </si>
  <si>
    <t>The application will not work properly when stored in Sharepoint or other cloud storage system.</t>
  </si>
  <si>
    <t>To better support reverting to earlier versions, the application has code applied to save a duplicate copy of the file each time it is saved. The copies are stored in a "Backup_Folder" that is created in the same file directory as the original file. Upto 7 recent saved versions of the excel file will be maintained via this approach.  It is assumed users will have access to write into folders where they are storing files.</t>
  </si>
  <si>
    <t>Overview report generation</t>
  </si>
  <si>
    <t>Due to the processing power required by Excel to summarize register data into an overview report, it is requested users be patient. Testing has shown delays of up to 1 min per 1000 study records could be incurred. During the time the report is being processed it is recommended to refrain from interacting with excel until a pop-up informing data has been imported activates.</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</si>
  <si>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</si>
  <si>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</si>
  <si>
    <t>10-Oct-2021 13:02</t>
  </si>
  <si>
    <t>Plan. Meeting = 01-Apr-20
Reminder:
0123456789111111111111111111111111111111111111111111111111111111111111111111111111111111111111111111111111111111111111111111111111111111111111111111111111111111111111111111111111111111111111111111111111111111111111111111111111111111111111110123456789</t>
  </si>
  <si>
    <t>TKI Incomplete</t>
  </si>
  <si>
    <t>Date Finalised = 01-Dec-19
Date Submitted Finance = 15-Aug-20
Date Approved = 01-Sep-20</t>
  </si>
  <si>
    <t>Date Approved = 05-Sep-20
Reminder:
0123456789111111111111111111111111111111111111111111111111111111111111111111111111111111111111111111111111111111111111111111111111111111111111111111111111111111111111111111111111111111111111111111111111111111111111111111111111111111111111110123456789</t>
  </si>
  <si>
    <t>Date of SIV = 01-Jan-22</t>
  </si>
  <si>
    <t>Data retrieved 10-Oct-2021 01:02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</si>
</sst>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11"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b/>
      <sz val="11"/>
      <color rgb="FF000000"/>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81">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165" fontId="2" fillId="0" borderId="0" xfId="0" applyNumberFormat="1" applyFont="1" applyFill="1" applyAlignment="1">
      <alignment horizontal="left" vertical="top"/>
    </xf>
    <xf numFmtId="0" fontId="2" fillId="0" borderId="0" xfId="0" applyFont="1" applyFill="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0" fontId="0" fillId="0" borderId="0" xfId="0" applyFont="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0" fontId="2" fillId="0" borderId="0" xfId="0" applyNumberFormat="1" applyFont="1" applyFill="1" applyAlignment="1">
      <alignment horizontal="left" vertical="top"/>
    </xf>
    <xf numFmtId="20" fontId="0" fillId="0" borderId="0" xfId="0" applyNumberFormat="1" applyAlignment="1">
      <alignment horizontal="left" vertical="top"/>
    </xf>
    <xf numFmtId="20" fontId="0" fillId="0" borderId="0" xfId="0" applyNumberFormat="1" applyFont="1" applyAlignment="1">
      <alignment horizontal="left" vertical="top"/>
    </xf>
    <xf numFmtId="14" fontId="2" fillId="0" borderId="0" xfId="0" applyNumberFormat="1" applyFon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Border="1"/>
    <xf numFmtId="0" fontId="0" fillId="0" borderId="0" xfId="0" applyAlignment="1">
      <alignment vertical="top"/>
    </xf>
    <xf numFmtId="0" fontId="0" fillId="0" borderId="0" xfId="0" applyFont="1" applyFill="1" applyAlignment="1">
      <alignment horizontal="left" vertical="top" wrapText="1"/>
    </xf>
    <xf numFmtId="0" fontId="0" fillId="0" borderId="0" xfId="0" applyFont="1" applyFill="1" applyBorder="1" applyAlignment="1">
      <alignment horizontal="left" vertical="top" wrapText="1"/>
    </xf>
    <xf numFmtId="0" fontId="1" fillId="0" borderId="0" xfId="0" applyFont="1" applyAlignment="1">
      <alignment horizontal="center" vertical="center"/>
    </xf>
    <xf numFmtId="0" fontId="1" fillId="0" borderId="0" xfId="0" applyFont="1" applyBorder="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0" fillId="0" borderId="0" xfId="0" applyFont="1" applyFill="1" applyAlignment="1">
      <alignment horizontal="left" vertical="top"/>
    </xf>
    <xf numFmtId="166" fontId="0" fillId="0" borderId="0" xfId="0" applyNumberFormat="1" applyFont="1" applyFill="1" applyAlignment="1">
      <alignment horizontal="left" vertical="top"/>
    </xf>
    <xf numFmtId="167" fontId="0" fillId="0" borderId="0" xfId="0" applyNumberFormat="1" applyFont="1" applyFill="1" applyAlignment="1">
      <alignment horizontal="left" vertical="top"/>
    </xf>
    <xf numFmtId="0" fontId="0" fillId="0" borderId="0" xfId="0" applyFont="1" applyAlignment="1">
      <alignment vertical="top"/>
    </xf>
    <xf numFmtId="0" fontId="0" fillId="0" borderId="0" xfId="0" applyBorder="1" applyAlignment="1">
      <alignment horizontal="left" vertical="top"/>
    </xf>
    <xf numFmtId="0" fontId="2" fillId="8" borderId="0" xfId="0" applyFont="1" applyFill="1" applyAlignment="1">
      <alignment horizontal="left" vertical="top"/>
    </xf>
    <xf numFmtId="14" fontId="0" fillId="0" borderId="0" xfId="0" applyNumberFormat="1" applyAlignment="1">
      <alignment horizontal="left" vertical="top"/>
    </xf>
    <xf numFmtId="0" fontId="0" fillId="0" borderId="0" xfId="0" applyNumberFormat="1" applyAlignment="1">
      <alignment horizontal="left" vertical="top"/>
    </xf>
    <xf numFmtId="14" fontId="0" fillId="0" borderId="0" xfId="0" applyNumberFormat="1" applyFon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7" fillId="0" borderId="0" xfId="0" applyFont="1" applyBorder="1"/>
    <xf numFmtId="0" fontId="0" fillId="0" borderId="6" xfId="0" applyBorder="1"/>
    <xf numFmtId="0" fontId="8" fillId="0" borderId="0" xfId="1" applyBorder="1"/>
    <xf numFmtId="0" fontId="1" fillId="0" borderId="0" xfId="0" applyFont="1" applyBorder="1"/>
    <xf numFmtId="0" fontId="6" fillId="0" borderId="0" xfId="0" applyFont="1" applyBorder="1"/>
    <xf numFmtId="0" fontId="0" fillId="0" borderId="7" xfId="0" applyBorder="1"/>
    <xf numFmtId="0" fontId="0" fillId="0" borderId="8" xfId="0" applyBorder="1"/>
    <xf numFmtId="0" fontId="0" fillId="0" borderId="9" xfId="0" applyBorder="1"/>
    <xf numFmtId="0" fontId="0" fillId="0" borderId="0" xfId="0" applyFill="1" applyBorder="1"/>
    <xf numFmtId="0" fontId="9" fillId="0" borderId="0" xfId="0" applyFont="1" applyBorder="1"/>
    <xf numFmtId="0" fontId="7" fillId="0" borderId="5" xfId="0" applyFont="1" applyBorder="1" applyAlignment="1">
      <alignment horizontal="center"/>
    </xf>
    <xf numFmtId="0" fontId="0" fillId="0" borderId="0" xfId="0" applyFont="1" applyFill="1" applyAlignment="1">
      <alignment horizontal="center" vertical="center" wrapText="1"/>
    </xf>
    <xf numFmtId="0" fontId="2" fillId="4" borderId="0" xfId="0" quotePrefix="1" applyFont="1" applyFill="1" applyAlignment="1">
      <alignment horizontal="left" vertical="top"/>
    </xf>
    <xf numFmtId="14" fontId="2" fillId="0" borderId="0" xfId="0" quotePrefix="1" applyNumberFormat="1" applyFont="1" applyAlignment="1">
      <alignment horizontal="left" vertical="top"/>
    </xf>
    <xf numFmtId="0" fontId="2" fillId="0" borderId="0" xfId="0" quotePrefix="1" applyFont="1" applyFill="1" applyAlignment="1">
      <alignment horizontal="left" vertical="top"/>
    </xf>
    <xf numFmtId="0" fontId="2" fillId="0" borderId="0" xfId="0" quotePrefix="1" applyFont="1" applyAlignment="1">
      <alignment horizontal="left" vertical="top"/>
    </xf>
    <xf numFmtId="0" fontId="10" fillId="0" borderId="0" xfId="0" applyFont="1" applyAlignment="1">
      <alignment horizontal="center" vertical="center"/>
    </xf>
    <xf numFmtId="0" fontId="0" fillId="6" borderId="1" xfId="0" applyFont="1" applyFill="1" applyBorder="1" applyAlignment="1">
      <alignment horizontal="left" vertical="top" wrapText="1"/>
    </xf>
    <xf numFmtId="0" fontId="0" fillId="7" borderId="1" xfId="0" applyFont="1" applyFill="1" applyBorder="1" applyAlignment="1">
      <alignment horizontal="left" vertical="top" wrapText="1"/>
    </xf>
    <xf numFmtId="0" fontId="9" fillId="9" borderId="0" xfId="0" applyFont="1" applyFill="1" applyAlignment="1">
      <alignment horizontal="left" vertical="top"/>
    </xf>
    <xf numFmtId="0" fontId="9" fillId="9" borderId="0" xfId="0" applyFont="1" applyFill="1"/>
    <xf numFmtId="166" fontId="0" fillId="7" borderId="1" xfId="0" applyNumberFormat="1" applyFont="1" applyFill="1" applyBorder="1" applyAlignment="1">
      <alignment horizontal="left" vertical="top" wrapText="1"/>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xf numFmtId="0" fontId="0" fillId="0" borderId="0" xfId="0" applyBorder="1" applyAlignment="1">
      <alignment horizontal="left" vertical="top" wrapText="1"/>
    </xf>
    <xf numFmtId="0" fontId="0" fillId="0" borderId="0" xfId="0" applyBorder="1" applyAlignment="1">
      <alignment horizontal="left" vertical="top" wrapText="1"/>
    </xf>
    <xf numFmtId="0" fontId="0" fillId="0" borderId="0" xfId="0" applyBorder="1" applyAlignment="1">
      <alignment vertical="top" wrapText="1"/>
    </xf>
    <xf numFmtId="0" fontId="0" fillId="0" borderId="0" xfId="0" applyBorder="1" applyAlignment="1">
      <alignment horizontal="left" wrapText="1"/>
    </xf>
    <xf numFmtId="0" fontId="0" fillId="0" borderId="0" xfId="0" applyBorder="1" applyAlignment="1">
      <alignment wrapText="1"/>
    </xf>
    <xf numFmtId="0" fontId="1" fillId="0" borderId="0" xfId="0" applyFont="1" applyBorder="1" applyAlignment="1">
      <alignment vertical="top"/>
    </xf>
    <xf numFmtId="0" fontId="1" fillId="0" borderId="0" xfId="0" applyFont="1" applyBorder="1" applyAlignment="1">
      <alignment horizontal="left"/>
    </xf>
    <xf numFmtId="0" fontId="1" fillId="0" borderId="0" xfId="0" applyFont="1" applyBorder="1" applyAlignment="1">
      <alignment horizontal="left" vertical="top"/>
    </xf>
  </cellXfs>
  <cellStyles count="2">
    <cellStyle name="Hyperlink" xfId="1" builtinId="8"/>
    <cellStyle name="Normal" xfId="0" builtinId="0"/>
  </cellStyles>
  <dxfs count="197">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ill>
        <patternFill patternType="solid">
          <fgColor rgb="FFF6B0B0"/>
          <bgColor rgb="FF000000"/>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5</xdr:col>
      <xdr:colOff>421342</xdr:colOff>
      <xdr:row>54</xdr:row>
      <xdr:rowOff>53788</xdr:rowOff>
    </xdr:from>
    <xdr:to>
      <xdr:col>15</xdr:col>
      <xdr:colOff>573850</xdr:colOff>
      <xdr:row>79</xdr:row>
      <xdr:rowOff>97590</xdr:rowOff>
    </xdr:to>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1"/>
        <a:stretch>
          <a:fillRect/>
        </a:stretch>
      </xdr:blipFill>
      <xdr:spPr>
        <a:xfrm>
          <a:off x="1658471" y="3155576"/>
          <a:ext cx="6248507" cy="4535681"/>
        </a:xfrm>
        <a:prstGeom prst="rect">
          <a:avLst/>
        </a:prstGeom>
      </xdr:spPr>
    </xdr:pic>
    <xdr:clientData/>
  </xdr:twoCellAnchor>
  <xdr:twoCellAnchor>
    <xdr:from>
      <xdr:col>5</xdr:col>
      <xdr:colOff>107512</xdr:colOff>
      <xdr:row>56</xdr:row>
      <xdr:rowOff>57822</xdr:rowOff>
    </xdr:from>
    <xdr:to>
      <xdr:col>6</xdr:col>
      <xdr:colOff>134471</xdr:colOff>
      <xdr:row>56</xdr:row>
      <xdr:rowOff>134471</xdr:rowOff>
    </xdr:to>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1344641" y="3518198"/>
          <a:ext cx="6365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112955</xdr:colOff>
      <xdr:row>54</xdr:row>
      <xdr:rowOff>133573</xdr:rowOff>
    </xdr:from>
    <xdr:to>
      <xdr:col>5</xdr:col>
      <xdr:colOff>107512</xdr:colOff>
      <xdr:row>57</xdr:row>
      <xdr:rowOff>161363</xdr:rowOff>
    </xdr:to>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12955" y="3235361"/>
          <a:ext cx="1231686" cy="5656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a:t>
          </a:r>
        </a:p>
      </xdr:txBody>
    </xdr:sp>
    <xdr:clientData/>
  </xdr:twoCellAnchor>
  <xdr:twoCellAnchor>
    <xdr:from>
      <xdr:col>5</xdr:col>
      <xdr:colOff>270759</xdr:colOff>
      <xdr:row>52</xdr:row>
      <xdr:rowOff>91889</xdr:rowOff>
    </xdr:from>
    <xdr:to>
      <xdr:col>7</xdr:col>
      <xdr:colOff>112059</xdr:colOff>
      <xdr:row>56</xdr:row>
      <xdr:rowOff>112059</xdr:rowOff>
    </xdr:to>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1503406" y="2826124"/>
          <a:ext cx="1051535" cy="73734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281828</xdr:colOff>
      <xdr:row>49</xdr:row>
      <xdr:rowOff>149039</xdr:rowOff>
    </xdr:from>
    <xdr:to>
      <xdr:col>6</xdr:col>
      <xdr:colOff>276385</xdr:colOff>
      <xdr:row>52</xdr:row>
      <xdr:rowOff>95699</xdr:rowOff>
    </xdr:to>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891428" y="2244539"/>
          <a:ext cx="1213757"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a:t>
          </a:r>
        </a:p>
      </xdr:txBody>
    </xdr:sp>
    <xdr:clientData/>
  </xdr:twoCellAnchor>
  <xdr:twoCellAnchor>
    <xdr:from>
      <xdr:col>6</xdr:col>
      <xdr:colOff>437031</xdr:colOff>
      <xdr:row>48</xdr:row>
      <xdr:rowOff>134470</xdr:rowOff>
    </xdr:from>
    <xdr:to>
      <xdr:col>9</xdr:col>
      <xdr:colOff>22412</xdr:colOff>
      <xdr:row>53</xdr:row>
      <xdr:rowOff>123265</xdr:rowOff>
    </xdr:to>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2265831" y="2039470"/>
          <a:ext cx="1414181" cy="9412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a:t>filter the</a:t>
          </a:r>
          <a:r>
            <a:rPr lang="en-AU" sz="1000" baseline="0"/>
            <a:t> entries to only show those with Pre-commencement status</a:t>
          </a:r>
        </a:p>
        <a:p>
          <a:endParaRPr lang="en-AU" sz="1000" baseline="0"/>
        </a:p>
      </xdr:txBody>
    </xdr:sp>
    <xdr:clientData/>
  </xdr:twoCellAnchor>
  <xdr:twoCellAnchor>
    <xdr:from>
      <xdr:col>7</xdr:col>
      <xdr:colOff>534522</xdr:colOff>
      <xdr:row>53</xdr:row>
      <xdr:rowOff>125170</xdr:rowOff>
    </xdr:from>
    <xdr:to>
      <xdr:col>8</xdr:col>
      <xdr:colOff>152400</xdr:colOff>
      <xdr:row>56</xdr:row>
      <xdr:rowOff>95250</xdr:rowOff>
    </xdr:to>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820772" y="3249370"/>
          <a:ext cx="227478" cy="51300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9</xdr:col>
      <xdr:colOff>235324</xdr:colOff>
      <xdr:row>49</xdr:row>
      <xdr:rowOff>78440</xdr:rowOff>
    </xdr:from>
    <xdr:to>
      <xdr:col>11</xdr:col>
      <xdr:colOff>369795</xdr:colOff>
      <xdr:row>52</xdr:row>
      <xdr:rowOff>78441</xdr:rowOff>
    </xdr:to>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3892924" y="2173940"/>
          <a:ext cx="1353671" cy="5715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skip incomplete entries</a:t>
          </a:r>
        </a:p>
      </xdr:txBody>
    </xdr:sp>
    <xdr:clientData/>
  </xdr:twoCellAnchor>
  <xdr:twoCellAnchor>
    <xdr:from>
      <xdr:col>10</xdr:col>
      <xdr:colOff>302559</xdr:colOff>
      <xdr:row>52</xdr:row>
      <xdr:rowOff>78441</xdr:rowOff>
    </xdr:from>
    <xdr:to>
      <xdr:col>10</xdr:col>
      <xdr:colOff>369794</xdr:colOff>
      <xdr:row>57</xdr:row>
      <xdr:rowOff>100853</xdr:rowOff>
    </xdr:to>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a:off x="4569759" y="2745441"/>
          <a:ext cx="67235" cy="97491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11</xdr:col>
      <xdr:colOff>571499</xdr:colOff>
      <xdr:row>48</xdr:row>
      <xdr:rowOff>156883</xdr:rowOff>
    </xdr:from>
    <xdr:to>
      <xdr:col>14</xdr:col>
      <xdr:colOff>100852</xdr:colOff>
      <xdr:row>53</xdr:row>
      <xdr:rowOff>100854</xdr:rowOff>
    </xdr:to>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5448299" y="2061883"/>
          <a:ext cx="1358153" cy="896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allow user to save their progress as soon as they clicked other forms</a:t>
          </a:r>
        </a:p>
      </xdr:txBody>
    </xdr:sp>
    <xdr:clientData/>
  </xdr:twoCellAnchor>
  <xdr:twoCellAnchor>
    <xdr:from>
      <xdr:col>12</xdr:col>
      <xdr:colOff>336176</xdr:colOff>
      <xdr:row>53</xdr:row>
      <xdr:rowOff>100854</xdr:rowOff>
    </xdr:from>
    <xdr:to>
      <xdr:col>13</xdr:col>
      <xdr:colOff>33617</xdr:colOff>
      <xdr:row>57</xdr:row>
      <xdr:rowOff>89647</xdr:rowOff>
    </xdr:to>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5822576" y="2958354"/>
          <a:ext cx="307041" cy="75079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136153</xdr:colOff>
      <xdr:row>53</xdr:row>
      <xdr:rowOff>69925</xdr:rowOff>
    </xdr:from>
    <xdr:to>
      <xdr:col>15</xdr:col>
      <xdr:colOff>140073</xdr:colOff>
      <xdr:row>57</xdr:row>
      <xdr:rowOff>59392</xdr:rowOff>
    </xdr:to>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6841753" y="2927425"/>
          <a:ext cx="61352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212911</xdr:colOff>
      <xdr:row>50</xdr:row>
      <xdr:rowOff>123265</xdr:rowOff>
    </xdr:from>
    <xdr:to>
      <xdr:col>16</xdr:col>
      <xdr:colOff>67236</xdr:colOff>
      <xdr:row>53</xdr:row>
      <xdr:rowOff>69925</xdr:rowOff>
    </xdr:to>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6918511" y="2409265"/>
          <a:ext cx="1073525"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a:t>
          </a:r>
        </a:p>
      </xdr:txBody>
    </xdr:sp>
    <xdr:clientData/>
  </xdr:twoCellAnchor>
  <xdr:twoCellAnchor>
    <xdr:from>
      <xdr:col>16</xdr:col>
      <xdr:colOff>212911</xdr:colOff>
      <xdr:row>47</xdr:row>
      <xdr:rowOff>78440</xdr:rowOff>
    </xdr:from>
    <xdr:to>
      <xdr:col>19</xdr:col>
      <xdr:colOff>56030</xdr:colOff>
      <xdr:row>52</xdr:row>
      <xdr:rowOff>44823</xdr:rowOff>
    </xdr:to>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8137711" y="1792940"/>
          <a:ext cx="1671919" cy="9188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Close</a:t>
          </a:r>
          <a:r>
            <a:rPr lang="en-AU" sz="1000" baseline="0"/>
            <a:t> form</a:t>
          </a:r>
        </a:p>
        <a:p>
          <a:endParaRPr lang="en-AU" sz="1000" baseline="0"/>
        </a:p>
        <a:p>
          <a:r>
            <a:rPr lang="en-AU" sz="1000" baseline="0"/>
            <a:t>This button will not save any changes so it is advised not to use this to close the form</a:t>
          </a:r>
        </a:p>
        <a:p>
          <a:endParaRPr lang="en-AU" sz="1000" baseline="0"/>
        </a:p>
      </xdr:txBody>
    </xdr:sp>
    <xdr:clientData/>
  </xdr:twoCellAnchor>
  <xdr:twoCellAnchor>
    <xdr:from>
      <xdr:col>15</xdr:col>
      <xdr:colOff>437029</xdr:colOff>
      <xdr:row>52</xdr:row>
      <xdr:rowOff>44823</xdr:rowOff>
    </xdr:from>
    <xdr:to>
      <xdr:col>17</xdr:col>
      <xdr:colOff>437029</xdr:colOff>
      <xdr:row>55</xdr:row>
      <xdr:rowOff>89647</xdr:rowOff>
    </xdr:to>
    <xdr:cxnSp macro="">
      <xdr:nvCxnSpPr>
        <xdr:cNvPr id="17" name="Straight Arrow Connector 16">
          <a:extLst>
            <a:ext uri="{FF2B5EF4-FFF2-40B4-BE49-F238E27FC236}">
              <a16:creationId xmlns:a16="http://schemas.microsoft.com/office/drawing/2014/main" id="{68DE8437-B42C-4775-B9DA-85FC8AF813DA}"/>
            </a:ext>
          </a:extLst>
        </xdr:cNvPr>
        <xdr:cNvCxnSpPr>
          <a:stCxn id="16" idx="2"/>
        </xdr:cNvCxnSpPr>
      </xdr:nvCxnSpPr>
      <xdr:spPr>
        <a:xfrm flipH="1">
          <a:off x="7752229" y="2711823"/>
          <a:ext cx="1219200" cy="61632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156882</xdr:colOff>
      <xdr:row>56</xdr:row>
      <xdr:rowOff>12551</xdr:rowOff>
    </xdr:from>
    <xdr:to>
      <xdr:col>16</xdr:col>
      <xdr:colOff>515471</xdr:colOff>
      <xdr:row>57</xdr:row>
      <xdr:rowOff>134471</xdr:rowOff>
    </xdr:to>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7472082" y="3441551"/>
          <a:ext cx="968189" cy="31242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515471</xdr:colOff>
      <xdr:row>54</xdr:row>
      <xdr:rowOff>134471</xdr:rowOff>
    </xdr:from>
    <xdr:to>
      <xdr:col>18</xdr:col>
      <xdr:colOff>510027</xdr:colOff>
      <xdr:row>57</xdr:row>
      <xdr:rowOff>81131</xdr:rowOff>
    </xdr:to>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8440271" y="3182471"/>
          <a:ext cx="1213756"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last project in the entry</a:t>
          </a:r>
        </a:p>
      </xdr:txBody>
    </xdr:sp>
    <xdr:clientData/>
  </xdr:twoCellAnchor>
  <xdr:twoCellAnchor>
    <xdr:from>
      <xdr:col>16</xdr:col>
      <xdr:colOff>235325</xdr:colOff>
      <xdr:row>58</xdr:row>
      <xdr:rowOff>6723</xdr:rowOff>
    </xdr:from>
    <xdr:to>
      <xdr:col>19</xdr:col>
      <xdr:colOff>537884</xdr:colOff>
      <xdr:row>61</xdr:row>
      <xdr:rowOff>67234</xdr:rowOff>
    </xdr:to>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8160125" y="3816723"/>
          <a:ext cx="2131359" cy="6320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Shows study names or can be used as a searching mechanism to find the study that the client want to review</a:t>
          </a:r>
        </a:p>
      </xdr:txBody>
    </xdr:sp>
    <xdr:clientData/>
  </xdr:twoCellAnchor>
  <xdr:twoCellAnchor>
    <xdr:from>
      <xdr:col>14</xdr:col>
      <xdr:colOff>257735</xdr:colOff>
      <xdr:row>59</xdr:row>
      <xdr:rowOff>132229</xdr:rowOff>
    </xdr:from>
    <xdr:to>
      <xdr:col>16</xdr:col>
      <xdr:colOff>235325</xdr:colOff>
      <xdr:row>60</xdr:row>
      <xdr:rowOff>123265</xdr:rowOff>
    </xdr:to>
    <xdr:cxnSp macro="">
      <xdr:nvCxnSpPr>
        <xdr:cNvPr id="21" name="Straight Arrow Connector 20">
          <a:extLst>
            <a:ext uri="{FF2B5EF4-FFF2-40B4-BE49-F238E27FC236}">
              <a16:creationId xmlns:a16="http://schemas.microsoft.com/office/drawing/2014/main" id="{58F5C556-2591-4FEB-A62F-96625E09DB86}"/>
            </a:ext>
          </a:extLst>
        </xdr:cNvPr>
        <xdr:cNvCxnSpPr>
          <a:stCxn id="20" idx="1"/>
        </xdr:cNvCxnSpPr>
      </xdr:nvCxnSpPr>
      <xdr:spPr>
        <a:xfrm flipH="1">
          <a:off x="6963335" y="4132729"/>
          <a:ext cx="1196790" cy="18153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493059</xdr:colOff>
      <xdr:row>62</xdr:row>
      <xdr:rowOff>134471</xdr:rowOff>
    </xdr:from>
    <xdr:to>
      <xdr:col>18</xdr:col>
      <xdr:colOff>487615</xdr:colOff>
      <xdr:row>65</xdr:row>
      <xdr:rowOff>168089</xdr:rowOff>
    </xdr:to>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8417859" y="4706471"/>
          <a:ext cx="1213756"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Show the status of the</a:t>
          </a:r>
          <a:r>
            <a:rPr lang="en-AU" sz="1000" baseline="0"/>
            <a:t> study being previewed</a:t>
          </a:r>
        </a:p>
      </xdr:txBody>
    </xdr:sp>
    <xdr:clientData/>
  </xdr:twoCellAnchor>
  <xdr:twoCellAnchor>
    <xdr:from>
      <xdr:col>5</xdr:col>
      <xdr:colOff>190500</xdr:colOff>
      <xdr:row>61</xdr:row>
      <xdr:rowOff>78441</xdr:rowOff>
    </xdr:from>
    <xdr:to>
      <xdr:col>7</xdr:col>
      <xdr:colOff>313764</xdr:colOff>
      <xdr:row>62</xdr:row>
      <xdr:rowOff>33618</xdr:rowOff>
    </xdr:to>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a:off x="1409700" y="4459941"/>
          <a:ext cx="1342464" cy="145677"/>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123265</xdr:colOff>
      <xdr:row>62</xdr:row>
      <xdr:rowOff>145676</xdr:rowOff>
    </xdr:from>
    <xdr:to>
      <xdr:col>16</xdr:col>
      <xdr:colOff>493059</xdr:colOff>
      <xdr:row>64</xdr:row>
      <xdr:rowOff>56030</xdr:rowOff>
    </xdr:to>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6828865" y="4717676"/>
          <a:ext cx="1588994" cy="29135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89646</xdr:colOff>
      <xdr:row>58</xdr:row>
      <xdr:rowOff>134470</xdr:rowOff>
    </xdr:from>
    <xdr:to>
      <xdr:col>5</xdr:col>
      <xdr:colOff>173850</xdr:colOff>
      <xdr:row>62</xdr:row>
      <xdr:rowOff>33617</xdr:rowOff>
    </xdr:to>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89646" y="3944470"/>
          <a:ext cx="1303404"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Show</a:t>
          </a:r>
          <a:r>
            <a:rPr lang="en-AU" sz="1000" baseline="0"/>
            <a:t> the protocol number for the selected study entry</a:t>
          </a:r>
        </a:p>
      </xdr:txBody>
    </xdr:sp>
    <xdr:clientData/>
  </xdr:twoCellAnchor>
  <xdr:twoCellAnchor>
    <xdr:from>
      <xdr:col>3</xdr:col>
      <xdr:colOff>85161</xdr:colOff>
      <xdr:row>62</xdr:row>
      <xdr:rowOff>107577</xdr:rowOff>
    </xdr:from>
    <xdr:to>
      <xdr:col>5</xdr:col>
      <xdr:colOff>169365</xdr:colOff>
      <xdr:row>66</xdr:row>
      <xdr:rowOff>6724</xdr:rowOff>
    </xdr:to>
    <xdr:sp macro="" textlink="">
      <xdr:nvSpPr>
        <xdr:cNvPr id="26" name="TextBox 25">
          <a:extLst>
            <a:ext uri="{FF2B5EF4-FFF2-40B4-BE49-F238E27FC236}">
              <a16:creationId xmlns:a16="http://schemas.microsoft.com/office/drawing/2014/main" id="{8C579F95-E187-4D2C-9B59-73C46E9F9427}"/>
            </a:ext>
          </a:extLst>
        </xdr:cNvPr>
        <xdr:cNvSpPr txBox="1"/>
      </xdr:nvSpPr>
      <xdr:spPr>
        <a:xfrm>
          <a:off x="85161" y="4679577"/>
          <a:ext cx="1303404"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States the sponsor for the study previewed</a:t>
          </a:r>
        </a:p>
      </xdr:txBody>
    </xdr:sp>
    <xdr:clientData/>
  </xdr:twoCellAnchor>
  <xdr:twoCellAnchor>
    <xdr:from>
      <xdr:col>5</xdr:col>
      <xdr:colOff>179294</xdr:colOff>
      <xdr:row>64</xdr:row>
      <xdr:rowOff>44824</xdr:rowOff>
    </xdr:from>
    <xdr:to>
      <xdr:col>7</xdr:col>
      <xdr:colOff>246529</xdr:colOff>
      <xdr:row>65</xdr:row>
      <xdr:rowOff>22413</xdr:rowOff>
    </xdr:to>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1398494" y="4997824"/>
          <a:ext cx="1286435" cy="16808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504266</xdr:colOff>
      <xdr:row>67</xdr:row>
      <xdr:rowOff>33618</xdr:rowOff>
    </xdr:from>
    <xdr:to>
      <xdr:col>18</xdr:col>
      <xdr:colOff>588469</xdr:colOff>
      <xdr:row>70</xdr:row>
      <xdr:rowOff>123265</xdr:rowOff>
    </xdr:to>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8429066" y="5558118"/>
          <a:ext cx="1303403"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Button used to search the study name in the entries</a:t>
          </a:r>
        </a:p>
      </xdr:txBody>
    </xdr:sp>
    <xdr:clientData/>
  </xdr:twoCellAnchor>
  <xdr:twoCellAnchor>
    <xdr:from>
      <xdr:col>15</xdr:col>
      <xdr:colOff>179294</xdr:colOff>
      <xdr:row>68</xdr:row>
      <xdr:rowOff>67235</xdr:rowOff>
    </xdr:from>
    <xdr:to>
      <xdr:col>16</xdr:col>
      <xdr:colOff>504266</xdr:colOff>
      <xdr:row>68</xdr:row>
      <xdr:rowOff>173692</xdr:rowOff>
    </xdr:to>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7494494" y="5782235"/>
          <a:ext cx="934572" cy="106457"/>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16</xdr:col>
      <xdr:colOff>230843</xdr:colOff>
      <xdr:row>71</xdr:row>
      <xdr:rowOff>17928</xdr:rowOff>
    </xdr:from>
    <xdr:to>
      <xdr:col>19</xdr:col>
      <xdr:colOff>22412</xdr:colOff>
      <xdr:row>74</xdr:row>
      <xdr:rowOff>190499</xdr:rowOff>
    </xdr:to>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8155643" y="6304428"/>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Shows similar entry names to the one inserted on the study name box when search  button is clicked.</a:t>
          </a:r>
        </a:p>
      </xdr:txBody>
    </xdr:sp>
    <xdr:clientData/>
  </xdr:twoCellAnchor>
  <xdr:twoCellAnchor>
    <xdr:from>
      <xdr:col>14</xdr:col>
      <xdr:colOff>141196</xdr:colOff>
      <xdr:row>71</xdr:row>
      <xdr:rowOff>51546</xdr:rowOff>
    </xdr:from>
    <xdr:to>
      <xdr:col>16</xdr:col>
      <xdr:colOff>230843</xdr:colOff>
      <xdr:row>73</xdr:row>
      <xdr:rowOff>8964</xdr:rowOff>
    </xdr:to>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6846796" y="6338046"/>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14</xdr:col>
      <xdr:colOff>51551</xdr:colOff>
      <xdr:row>75</xdr:row>
      <xdr:rowOff>118783</xdr:rowOff>
    </xdr:from>
    <xdr:to>
      <xdr:col>16</xdr:col>
      <xdr:colOff>235322</xdr:colOff>
      <xdr:row>79</xdr:row>
      <xdr:rowOff>33617</xdr:rowOff>
    </xdr:to>
    <xdr:cxnSp macro="">
      <xdr:nvCxnSpPr>
        <xdr:cNvPr id="32" name="Straight Arrow Connector 31">
          <a:extLst>
            <a:ext uri="{FF2B5EF4-FFF2-40B4-BE49-F238E27FC236}">
              <a16:creationId xmlns:a16="http://schemas.microsoft.com/office/drawing/2014/main" id="{03F23DF2-EE50-4066-8097-587549419D55}"/>
            </a:ext>
          </a:extLst>
        </xdr:cNvPr>
        <xdr:cNvCxnSpPr>
          <a:stCxn id="33" idx="1"/>
        </xdr:cNvCxnSpPr>
      </xdr:nvCxnSpPr>
      <xdr:spPr>
        <a:xfrm flipH="1" flipV="1">
          <a:off x="6757151" y="7167283"/>
          <a:ext cx="1402971" cy="67683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75</xdr:row>
      <xdr:rowOff>190499</xdr:rowOff>
    </xdr:from>
    <xdr:to>
      <xdr:col>20</xdr:col>
      <xdr:colOff>459441</xdr:colOff>
      <xdr:row>82</xdr:row>
      <xdr:rowOff>67234</xdr:rowOff>
    </xdr:to>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8160122" y="7238999"/>
          <a:ext cx="2662519" cy="1210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Delete selected entry from the active entry batch.</a:t>
          </a:r>
        </a:p>
        <a:p>
          <a:endParaRPr lang="en-AU" sz="1000" baseline="0"/>
        </a:p>
        <a:p>
          <a:r>
            <a:rPr lang="en-AU" sz="1000" baseline="0"/>
            <a:t>This will result in the data to be kept hidden with deleted status and will not show up anymore. Data will still be kept hidden in the database</a:t>
          </a:r>
        </a:p>
      </xdr:txBody>
    </xdr:sp>
    <xdr:clientData/>
  </xdr:twoCellAnchor>
  <xdr:twoCellAnchor>
    <xdr:from>
      <xdr:col>14</xdr:col>
      <xdr:colOff>186014</xdr:colOff>
      <xdr:row>82</xdr:row>
      <xdr:rowOff>156882</xdr:rowOff>
    </xdr:from>
    <xdr:to>
      <xdr:col>17</xdr:col>
      <xdr:colOff>201706</xdr:colOff>
      <xdr:row>86</xdr:row>
      <xdr:rowOff>156882</xdr:rowOff>
    </xdr:to>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6891614" y="8538882"/>
          <a:ext cx="1844492" cy="76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Close</a:t>
          </a:r>
          <a:r>
            <a:rPr lang="en-AU" sz="1100" baseline="0">
              <a:solidFill>
                <a:schemeClr val="dk1"/>
              </a:solidFill>
              <a:effectLst/>
              <a:latin typeface="+mn-lt"/>
              <a:ea typeface="+mn-ea"/>
              <a:cs typeface="+mn-cs"/>
            </a:rPr>
            <a:t> form</a:t>
          </a:r>
        </a:p>
        <a:p>
          <a:endParaRPr lang="en-ID" sz="1000">
            <a:effectLst/>
          </a:endParaRPr>
        </a:p>
        <a:p>
          <a:r>
            <a:rPr lang="en-AU" sz="1100" baseline="0">
              <a:solidFill>
                <a:schemeClr val="dk1"/>
              </a:solidFill>
              <a:effectLst/>
              <a:latin typeface="+mn-lt"/>
              <a:ea typeface="+mn-ea"/>
              <a:cs typeface="+mn-cs"/>
            </a:rPr>
            <a:t>This button will not save any changes </a:t>
          </a:r>
          <a:endParaRPr lang="en-ID" sz="1000">
            <a:effectLst/>
          </a:endParaRPr>
        </a:p>
      </xdr:txBody>
    </xdr:sp>
    <xdr:clientData/>
  </xdr:twoCellAnchor>
  <xdr:twoCellAnchor>
    <xdr:from>
      <xdr:col>14</xdr:col>
      <xdr:colOff>44824</xdr:colOff>
      <xdr:row>77</xdr:row>
      <xdr:rowOff>123265</xdr:rowOff>
    </xdr:from>
    <xdr:to>
      <xdr:col>15</xdr:col>
      <xdr:colOff>496419</xdr:colOff>
      <xdr:row>82</xdr:row>
      <xdr:rowOff>156882</xdr:rowOff>
    </xdr:to>
    <xdr:cxnSp macro="">
      <xdr:nvCxnSpPr>
        <xdr:cNvPr id="35" name="Straight Arrow Connector 34">
          <a:extLst>
            <a:ext uri="{FF2B5EF4-FFF2-40B4-BE49-F238E27FC236}">
              <a16:creationId xmlns:a16="http://schemas.microsoft.com/office/drawing/2014/main" id="{08944613-0AB5-4CF7-8810-386F2ECB10B2}"/>
            </a:ext>
          </a:extLst>
        </xdr:cNvPr>
        <xdr:cNvCxnSpPr>
          <a:stCxn id="34" idx="0"/>
        </xdr:cNvCxnSpPr>
      </xdr:nvCxnSpPr>
      <xdr:spPr>
        <a:xfrm flipH="1" flipV="1">
          <a:off x="6750424" y="7552765"/>
          <a:ext cx="1061195" cy="98611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336177</xdr:colOff>
      <xdr:row>77</xdr:row>
      <xdr:rowOff>89647</xdr:rowOff>
    </xdr:from>
    <xdr:to>
      <xdr:col>12</xdr:col>
      <xdr:colOff>312642</xdr:colOff>
      <xdr:row>81</xdr:row>
      <xdr:rowOff>129988</xdr:rowOff>
    </xdr:to>
    <xdr:cxnSp macro="">
      <xdr:nvCxnSpPr>
        <xdr:cNvPr id="36" name="Straight Arrow Connector 35">
          <a:extLst>
            <a:ext uri="{FF2B5EF4-FFF2-40B4-BE49-F238E27FC236}">
              <a16:creationId xmlns:a16="http://schemas.microsoft.com/office/drawing/2014/main" id="{81730F51-075D-4331-A921-2ABB527B6D48}"/>
            </a:ext>
          </a:extLst>
        </xdr:cNvPr>
        <xdr:cNvCxnSpPr>
          <a:stCxn id="37" idx="0"/>
        </xdr:cNvCxnSpPr>
      </xdr:nvCxnSpPr>
      <xdr:spPr>
        <a:xfrm flipH="1" flipV="1">
          <a:off x="5212977" y="7519147"/>
          <a:ext cx="586065" cy="80234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528913</xdr:colOff>
      <xdr:row>81</xdr:row>
      <xdr:rowOff>129988</xdr:rowOff>
    </xdr:from>
    <xdr:to>
      <xdr:col>14</xdr:col>
      <xdr:colOff>96370</xdr:colOff>
      <xdr:row>86</xdr:row>
      <xdr:rowOff>123263</xdr:rowOff>
    </xdr:to>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4796113" y="8321488"/>
          <a:ext cx="2005857" cy="945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Edit Record</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allow changes to the entry</a:t>
          </a:r>
          <a:endParaRPr lang="en-ID" sz="1000">
            <a:effectLst/>
          </a:endParaRPr>
        </a:p>
      </xdr:txBody>
    </xdr:sp>
    <xdr:clientData/>
  </xdr:twoCellAnchor>
  <xdr:twoCellAnchor>
    <xdr:from>
      <xdr:col>7</xdr:col>
      <xdr:colOff>277903</xdr:colOff>
      <xdr:row>81</xdr:row>
      <xdr:rowOff>159123</xdr:rowOff>
    </xdr:from>
    <xdr:to>
      <xdr:col>10</xdr:col>
      <xdr:colOff>450477</xdr:colOff>
      <xdr:row>87</xdr:row>
      <xdr:rowOff>156882</xdr:rowOff>
    </xdr:to>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2716303" y="8350623"/>
          <a:ext cx="2001374" cy="11407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View Reminders</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show the reminders written by previous user who edit the entry</a:t>
          </a:r>
          <a:endParaRPr lang="en-ID" sz="1000">
            <a:effectLst/>
          </a:endParaRPr>
        </a:p>
      </xdr:txBody>
    </xdr:sp>
    <xdr:clientData/>
  </xdr:twoCellAnchor>
  <xdr:twoCellAnchor>
    <xdr:from>
      <xdr:col>9</xdr:col>
      <xdr:colOff>61632</xdr:colOff>
      <xdr:row>75</xdr:row>
      <xdr:rowOff>134470</xdr:rowOff>
    </xdr:from>
    <xdr:to>
      <xdr:col>10</xdr:col>
      <xdr:colOff>89647</xdr:colOff>
      <xdr:row>81</xdr:row>
      <xdr:rowOff>159123</xdr:rowOff>
    </xdr:to>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3719232" y="7182970"/>
          <a:ext cx="637615" cy="116765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438150</xdr:colOff>
      <xdr:row>77</xdr:row>
      <xdr:rowOff>179297</xdr:rowOff>
    </xdr:from>
    <xdr:to>
      <xdr:col>7</xdr:col>
      <xdr:colOff>246529</xdr:colOff>
      <xdr:row>81</xdr:row>
      <xdr:rowOff>87405</xdr:rowOff>
    </xdr:to>
    <xdr:cxnSp macro="">
      <xdr:nvCxnSpPr>
        <xdr:cNvPr id="40" name="Straight Arrow Connector 39">
          <a:extLst>
            <a:ext uri="{FF2B5EF4-FFF2-40B4-BE49-F238E27FC236}">
              <a16:creationId xmlns:a16="http://schemas.microsoft.com/office/drawing/2014/main" id="{1F01026D-FC98-46EB-89D1-14699BDBDAAB}"/>
            </a:ext>
          </a:extLst>
        </xdr:cNvPr>
        <xdr:cNvCxnSpPr>
          <a:stCxn id="41" idx="0"/>
        </xdr:cNvCxnSpPr>
      </xdr:nvCxnSpPr>
      <xdr:spPr>
        <a:xfrm flipV="1">
          <a:off x="1657350" y="7608797"/>
          <a:ext cx="1027579" cy="67010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49303</xdr:colOff>
      <xdr:row>81</xdr:row>
      <xdr:rowOff>87405</xdr:rowOff>
    </xdr:from>
    <xdr:to>
      <xdr:col>7</xdr:col>
      <xdr:colOff>221877</xdr:colOff>
      <xdr:row>86</xdr:row>
      <xdr:rowOff>134470</xdr:rowOff>
    </xdr:to>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658903" y="8278905"/>
          <a:ext cx="2001374" cy="9995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New Record</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allow the creation of a new entry</a:t>
          </a:r>
          <a:endParaRPr lang="en-ID" sz="1000">
            <a:effectLst/>
          </a:endParaRPr>
        </a:p>
      </xdr:txBody>
    </xdr:sp>
    <xdr:clientData/>
  </xdr:twoCellAnchor>
  <xdr:twoCellAnchor>
    <xdr:from>
      <xdr:col>3</xdr:col>
      <xdr:colOff>134472</xdr:colOff>
      <xdr:row>72</xdr:row>
      <xdr:rowOff>11206</xdr:rowOff>
    </xdr:from>
    <xdr:to>
      <xdr:col>5</xdr:col>
      <xdr:colOff>481855</xdr:colOff>
      <xdr:row>76</xdr:row>
      <xdr:rowOff>85164</xdr:rowOff>
    </xdr:to>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34472" y="6488206"/>
          <a:ext cx="1566583" cy="8359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a:effectLst/>
            </a:rPr>
            <a:t>View</a:t>
          </a:r>
          <a:r>
            <a:rPr lang="en-ID" sz="1000" baseline="0">
              <a:effectLst/>
            </a:rPr>
            <a:t> Change Log</a:t>
          </a:r>
        </a:p>
        <a:p>
          <a:endParaRPr lang="en-ID" sz="1000" baseline="0">
            <a:effectLst/>
          </a:endParaRPr>
        </a:p>
        <a:p>
          <a:r>
            <a:rPr lang="en-ID" sz="1000" baseline="0">
              <a:effectLst/>
            </a:rPr>
            <a:t>Allows user to see the date and time when the entry was edited.</a:t>
          </a:r>
          <a:endParaRPr lang="en-ID" sz="1000">
            <a:effectLst/>
          </a:endParaRPr>
        </a:p>
      </xdr:txBody>
    </xdr:sp>
    <xdr:clientData/>
  </xdr:twoCellAnchor>
  <xdr:twoCellAnchor>
    <xdr:from>
      <xdr:col>5</xdr:col>
      <xdr:colOff>481855</xdr:colOff>
      <xdr:row>74</xdr:row>
      <xdr:rowOff>48185</xdr:rowOff>
    </xdr:from>
    <xdr:to>
      <xdr:col>7</xdr:col>
      <xdr:colOff>212911</xdr:colOff>
      <xdr:row>75</xdr:row>
      <xdr:rowOff>100853</xdr:rowOff>
    </xdr:to>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a:off x="1701055" y="6906185"/>
          <a:ext cx="950256" cy="243168"/>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493060</xdr:colOff>
      <xdr:row>161</xdr:row>
      <xdr:rowOff>1</xdr:rowOff>
    </xdr:from>
    <xdr:ext cx="6004800" cy="4561200"/>
    <xdr:pic>
      <xdr:nvPicPr>
        <xdr:cNvPr id="44" name="Picture 43">
          <a:extLst>
            <a:ext uri="{FF2B5EF4-FFF2-40B4-BE49-F238E27FC236}">
              <a16:creationId xmlns:a16="http://schemas.microsoft.com/office/drawing/2014/main" id="{07378EEF-7A3F-499A-BE56-F0E9A053ECFC}"/>
            </a:ext>
          </a:extLst>
        </xdr:cNvPr>
        <xdr:cNvPicPr>
          <a:picLocks/>
        </xdr:cNvPicPr>
      </xdr:nvPicPr>
      <xdr:blipFill>
        <a:blip xmlns:r="http://schemas.openxmlformats.org/officeDocument/2006/relationships" r:embed="rId2"/>
        <a:stretch>
          <a:fillRect/>
        </a:stretch>
      </xdr:blipFill>
      <xdr:spPr>
        <a:xfrm>
          <a:off x="1712260" y="10858501"/>
          <a:ext cx="6004800" cy="4561200"/>
        </a:xfrm>
        <a:prstGeom prst="rect">
          <a:avLst/>
        </a:prstGeom>
      </xdr:spPr>
    </xdr:pic>
    <xdr:clientData/>
  </xdr:oneCellAnchor>
  <xdr:twoCellAnchor>
    <xdr:from>
      <xdr:col>3</xdr:col>
      <xdr:colOff>224118</xdr:colOff>
      <xdr:row>162</xdr:row>
      <xdr:rowOff>134471</xdr:rowOff>
    </xdr:from>
    <xdr:to>
      <xdr:col>5</xdr:col>
      <xdr:colOff>78443</xdr:colOff>
      <xdr:row>165</xdr:row>
      <xdr:rowOff>81131</xdr:rowOff>
    </xdr:to>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24118" y="11284324"/>
          <a:ext cx="1064560"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name</a:t>
          </a:r>
          <a:r>
            <a:rPr lang="en-AU" sz="1000" baseline="0"/>
            <a:t> of sponsor</a:t>
          </a:r>
        </a:p>
      </xdr:txBody>
    </xdr:sp>
    <xdr:clientData/>
  </xdr:twoCellAnchor>
  <xdr:twoCellAnchor>
    <xdr:from>
      <xdr:col>5</xdr:col>
      <xdr:colOff>78443</xdr:colOff>
      <xdr:row>164</xdr:row>
      <xdr:rowOff>12551</xdr:rowOff>
    </xdr:from>
    <xdr:to>
      <xdr:col>7</xdr:col>
      <xdr:colOff>112058</xdr:colOff>
      <xdr:row>166</xdr:row>
      <xdr:rowOff>145676</xdr:rowOff>
    </xdr:to>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1288678" y="11543404"/>
          <a:ext cx="1243851" cy="51412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264459</xdr:colOff>
      <xdr:row>166</xdr:row>
      <xdr:rowOff>51547</xdr:rowOff>
    </xdr:from>
    <xdr:to>
      <xdr:col>5</xdr:col>
      <xdr:colOff>118784</xdr:colOff>
      <xdr:row>169</xdr:row>
      <xdr:rowOff>100853</xdr:rowOff>
    </xdr:to>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64459" y="11963400"/>
          <a:ext cx="1064560" cy="6208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the CRO that is involved in the study</a:t>
          </a:r>
        </a:p>
      </xdr:txBody>
    </xdr:sp>
    <xdr:clientData/>
  </xdr:twoCellAnchor>
  <xdr:twoCellAnchor>
    <xdr:from>
      <xdr:col>5</xdr:col>
      <xdr:colOff>118784</xdr:colOff>
      <xdr:row>167</xdr:row>
      <xdr:rowOff>171450</xdr:rowOff>
    </xdr:from>
    <xdr:to>
      <xdr:col>7</xdr:col>
      <xdr:colOff>134470</xdr:colOff>
      <xdr:row>168</xdr:row>
      <xdr:rowOff>168088</xdr:rowOff>
    </xdr:to>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1329019" y="12273803"/>
          <a:ext cx="1225922" cy="18713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302559</xdr:colOff>
      <xdr:row>170</xdr:row>
      <xdr:rowOff>22412</xdr:rowOff>
    </xdr:from>
    <xdr:to>
      <xdr:col>5</xdr:col>
      <xdr:colOff>302559</xdr:colOff>
      <xdr:row>173</xdr:row>
      <xdr:rowOff>56030</xdr:rowOff>
    </xdr:to>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302559" y="12696265"/>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study name that is going to be used</a:t>
          </a:r>
          <a:endParaRPr lang="en-AU" sz="1000"/>
        </a:p>
      </xdr:txBody>
    </xdr:sp>
    <xdr:clientData/>
  </xdr:twoCellAnchor>
  <xdr:twoCellAnchor>
    <xdr:from>
      <xdr:col>5</xdr:col>
      <xdr:colOff>302559</xdr:colOff>
      <xdr:row>171</xdr:row>
      <xdr:rowOff>22412</xdr:rowOff>
    </xdr:from>
    <xdr:to>
      <xdr:col>7</xdr:col>
      <xdr:colOff>123264</xdr:colOff>
      <xdr:row>171</xdr:row>
      <xdr:rowOff>134471</xdr:rowOff>
    </xdr:to>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1512794" y="12886765"/>
          <a:ext cx="1030941" cy="11205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253253</xdr:colOff>
      <xdr:row>172</xdr:row>
      <xdr:rowOff>145677</xdr:rowOff>
    </xdr:from>
    <xdr:to>
      <xdr:col>7</xdr:col>
      <xdr:colOff>112058</xdr:colOff>
      <xdr:row>175</xdr:row>
      <xdr:rowOff>118783</xdr:rowOff>
    </xdr:to>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1463488" y="13200530"/>
          <a:ext cx="1069041"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253253</xdr:colOff>
      <xdr:row>174</xdr:row>
      <xdr:rowOff>6724</xdr:rowOff>
    </xdr:from>
    <xdr:to>
      <xdr:col>5</xdr:col>
      <xdr:colOff>253253</xdr:colOff>
      <xdr:row>177</xdr:row>
      <xdr:rowOff>40342</xdr:rowOff>
    </xdr:to>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53253" y="13442577"/>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Protocol number </a:t>
          </a:r>
          <a:endParaRPr lang="en-AU" sz="1000"/>
        </a:p>
      </xdr:txBody>
    </xdr:sp>
    <xdr:clientData/>
  </xdr:twoCellAnchor>
  <xdr:twoCellAnchor>
    <xdr:from>
      <xdr:col>16</xdr:col>
      <xdr:colOff>593913</xdr:colOff>
      <xdr:row>172</xdr:row>
      <xdr:rowOff>179293</xdr:rowOff>
    </xdr:from>
    <xdr:to>
      <xdr:col>19</xdr:col>
      <xdr:colOff>156883</xdr:colOff>
      <xdr:row>176</xdr:row>
      <xdr:rowOff>168088</xdr:rowOff>
    </xdr:to>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8460442" y="13234146"/>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the age range that is going to be appropriate</a:t>
          </a:r>
          <a:r>
            <a:rPr lang="en-AU" sz="1000" baseline="0"/>
            <a:t> for the study</a:t>
          </a:r>
          <a:endParaRPr lang="en-AU" sz="1000"/>
        </a:p>
      </xdr:txBody>
    </xdr:sp>
    <xdr:clientData/>
  </xdr:twoCellAnchor>
  <xdr:twoCellAnchor>
    <xdr:from>
      <xdr:col>15</xdr:col>
      <xdr:colOff>44824</xdr:colOff>
      <xdr:row>174</xdr:row>
      <xdr:rowOff>173691</xdr:rowOff>
    </xdr:from>
    <xdr:to>
      <xdr:col>16</xdr:col>
      <xdr:colOff>593913</xdr:colOff>
      <xdr:row>175</xdr:row>
      <xdr:rowOff>123265</xdr:rowOff>
    </xdr:to>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7306236" y="13609544"/>
          <a:ext cx="1154206"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178</xdr:row>
      <xdr:rowOff>190499</xdr:rowOff>
    </xdr:from>
    <xdr:to>
      <xdr:col>19</xdr:col>
      <xdr:colOff>168088</xdr:colOff>
      <xdr:row>184</xdr:row>
      <xdr:rowOff>134470</xdr:rowOff>
    </xdr:to>
    <xdr:sp macro="" textlink="">
      <xdr:nvSpPr>
        <xdr:cNvPr id="79" name="TextBox 78">
          <a:extLst>
            <a:ext uri="{FF2B5EF4-FFF2-40B4-BE49-F238E27FC236}">
              <a16:creationId xmlns:a16="http://schemas.microsoft.com/office/drawing/2014/main" id="{48310408-FA03-41C4-BFFD-6C5D0A55656E}"/>
            </a:ext>
          </a:extLst>
        </xdr:cNvPr>
        <xdr:cNvSpPr txBox="1"/>
      </xdr:nvSpPr>
      <xdr:spPr>
        <a:xfrm>
          <a:off x="8471647" y="14388352"/>
          <a:ext cx="1378323" cy="10869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reminders</a:t>
          </a:r>
          <a:r>
            <a:rPr lang="en-AU" sz="1000" baseline="0"/>
            <a:t> if needed this reminder will be available to be reviewed under view reminder button on navigation page</a:t>
          </a:r>
          <a:endParaRPr lang="en-AU" sz="1000"/>
        </a:p>
      </xdr:txBody>
    </xdr:sp>
    <xdr:clientData/>
  </xdr:twoCellAnchor>
  <xdr:twoCellAnchor>
    <xdr:from>
      <xdr:col>14</xdr:col>
      <xdr:colOff>578225</xdr:colOff>
      <xdr:row>179</xdr:row>
      <xdr:rowOff>141195</xdr:rowOff>
    </xdr:from>
    <xdr:to>
      <xdr:col>17</xdr:col>
      <xdr:colOff>0</xdr:colOff>
      <xdr:row>181</xdr:row>
      <xdr:rowOff>162485</xdr:rowOff>
    </xdr:to>
    <xdr:cxnSp macro="">
      <xdr:nvCxnSpPr>
        <xdr:cNvPr id="80" name="Straight Arrow Connector 79">
          <a:extLst>
            <a:ext uri="{FF2B5EF4-FFF2-40B4-BE49-F238E27FC236}">
              <a16:creationId xmlns:a16="http://schemas.microsoft.com/office/drawing/2014/main" id="{F11C8A81-266C-454B-80EB-D67A2E5DD20F}"/>
            </a:ext>
          </a:extLst>
        </xdr:cNvPr>
        <xdr:cNvCxnSpPr>
          <a:stCxn id="79" idx="1"/>
        </xdr:cNvCxnSpPr>
      </xdr:nvCxnSpPr>
      <xdr:spPr>
        <a:xfrm flipH="1" flipV="1">
          <a:off x="7234519" y="14529548"/>
          <a:ext cx="1237128" cy="40229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380999</xdr:colOff>
      <xdr:row>187</xdr:row>
      <xdr:rowOff>0</xdr:rowOff>
    </xdr:from>
    <xdr:to>
      <xdr:col>11</xdr:col>
      <xdr:colOff>134471</xdr:colOff>
      <xdr:row>192</xdr:row>
      <xdr:rowOff>179294</xdr:rowOff>
    </xdr:to>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2801470" y="15912353"/>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Undo Button</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undo the recent changes but will not work if client have changed to another userform </a:t>
          </a:r>
          <a:endParaRPr lang="en-ID" sz="1000">
            <a:effectLst/>
          </a:endParaRPr>
        </a:p>
      </xdr:txBody>
    </xdr:sp>
    <xdr:clientData/>
  </xdr:twoCellAnchor>
  <xdr:twoCellAnchor>
    <xdr:from>
      <xdr:col>11</xdr:col>
      <xdr:colOff>582706</xdr:colOff>
      <xdr:row>186</xdr:row>
      <xdr:rowOff>156882</xdr:rowOff>
    </xdr:from>
    <xdr:to>
      <xdr:col>15</xdr:col>
      <xdr:colOff>336177</xdr:colOff>
      <xdr:row>192</xdr:row>
      <xdr:rowOff>145676</xdr:rowOff>
    </xdr:to>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5423647" y="15878735"/>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Redo Button</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redo the recently deleted changes but will not work if client have changed to another userform </a:t>
          </a:r>
          <a:endParaRPr lang="en-ID" sz="1000">
            <a:effectLst/>
          </a:endParaRPr>
        </a:p>
      </xdr:txBody>
    </xdr:sp>
    <xdr:clientData/>
  </xdr:twoCellAnchor>
  <xdr:twoCellAnchor>
    <xdr:from>
      <xdr:col>12</xdr:col>
      <xdr:colOff>259978</xdr:colOff>
      <xdr:row>182</xdr:row>
      <xdr:rowOff>168088</xdr:rowOff>
    </xdr:from>
    <xdr:to>
      <xdr:col>13</xdr:col>
      <xdr:colOff>459442</xdr:colOff>
      <xdr:row>186</xdr:row>
      <xdr:rowOff>156882</xdr:rowOff>
    </xdr:to>
    <xdr:cxnSp macro="">
      <xdr:nvCxnSpPr>
        <xdr:cNvPr id="87" name="Straight Arrow Connector 86">
          <a:extLst>
            <a:ext uri="{FF2B5EF4-FFF2-40B4-BE49-F238E27FC236}">
              <a16:creationId xmlns:a16="http://schemas.microsoft.com/office/drawing/2014/main" id="{5A1F59E7-30C5-42DE-ABFC-490C60F3EE38}"/>
            </a:ext>
          </a:extLst>
        </xdr:cNvPr>
        <xdr:cNvCxnSpPr>
          <a:stCxn id="86" idx="0"/>
        </xdr:cNvCxnSpPr>
      </xdr:nvCxnSpPr>
      <xdr:spPr>
        <a:xfrm flipH="1" flipV="1">
          <a:off x="5706037" y="15127941"/>
          <a:ext cx="804581" cy="75079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257735</xdr:colOff>
      <xdr:row>183</xdr:row>
      <xdr:rowOff>22412</xdr:rowOff>
    </xdr:from>
    <xdr:to>
      <xdr:col>9</xdr:col>
      <xdr:colOff>381000</xdr:colOff>
      <xdr:row>187</xdr:row>
      <xdr:rowOff>0</xdr:rowOff>
    </xdr:to>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3888441" y="15172765"/>
          <a:ext cx="123265"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201706</xdr:colOff>
      <xdr:row>187</xdr:row>
      <xdr:rowOff>11206</xdr:rowOff>
    </xdr:from>
    <xdr:to>
      <xdr:col>6</xdr:col>
      <xdr:colOff>560295</xdr:colOff>
      <xdr:row>193</xdr:row>
      <xdr:rowOff>0</xdr:rowOff>
    </xdr:to>
    <xdr:sp macro="" textlink="">
      <xdr:nvSpPr>
        <xdr:cNvPr id="92" name="TextBox 91">
          <a:extLst>
            <a:ext uri="{FF2B5EF4-FFF2-40B4-BE49-F238E27FC236}">
              <a16:creationId xmlns:a16="http://schemas.microsoft.com/office/drawing/2014/main" id="{0EF24DC9-E6A1-4AB3-9DF4-18AF6067E5F2}"/>
            </a:ext>
          </a:extLst>
        </xdr:cNvPr>
        <xdr:cNvSpPr txBox="1"/>
      </xdr:nvSpPr>
      <xdr:spPr>
        <a:xfrm>
          <a:off x="201706" y="15923559"/>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Apply Changes</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Save any changes done to the textboxes in the userform </a:t>
          </a:r>
          <a:endParaRPr lang="en-ID" sz="1000">
            <a:effectLst/>
          </a:endParaRPr>
        </a:p>
      </xdr:txBody>
    </xdr:sp>
    <xdr:clientData/>
  </xdr:twoCellAnchor>
  <xdr:twoCellAnchor>
    <xdr:from>
      <xdr:col>5</xdr:col>
      <xdr:colOff>78442</xdr:colOff>
      <xdr:row>182</xdr:row>
      <xdr:rowOff>145676</xdr:rowOff>
    </xdr:from>
    <xdr:to>
      <xdr:col>6</xdr:col>
      <xdr:colOff>212912</xdr:colOff>
      <xdr:row>187</xdr:row>
      <xdr:rowOff>11206</xdr:rowOff>
    </xdr:to>
    <xdr:cxnSp macro="">
      <xdr:nvCxnSpPr>
        <xdr:cNvPr id="93" name="Straight Arrow Connector 92">
          <a:extLst>
            <a:ext uri="{FF2B5EF4-FFF2-40B4-BE49-F238E27FC236}">
              <a16:creationId xmlns:a16="http://schemas.microsoft.com/office/drawing/2014/main" id="{06A1B580-690E-435E-A7FA-D114A43E901F}"/>
            </a:ext>
          </a:extLst>
        </xdr:cNvPr>
        <xdr:cNvCxnSpPr>
          <a:stCxn id="92" idx="0"/>
        </xdr:cNvCxnSpPr>
      </xdr:nvCxnSpPr>
      <xdr:spPr>
        <a:xfrm flipV="1">
          <a:off x="1288677" y="15105529"/>
          <a:ext cx="739588"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165850</xdr:colOff>
      <xdr:row>167</xdr:row>
      <xdr:rowOff>17931</xdr:rowOff>
    </xdr:from>
    <xdr:to>
      <xdr:col>16</xdr:col>
      <xdr:colOff>551329</xdr:colOff>
      <xdr:row>169</xdr:row>
      <xdr:rowOff>22413</xdr:rowOff>
    </xdr:to>
    <xdr:cxnSp macro="">
      <xdr:nvCxnSpPr>
        <xdr:cNvPr id="96" name="Straight Arrow Connector 95">
          <a:extLst>
            <a:ext uri="{FF2B5EF4-FFF2-40B4-BE49-F238E27FC236}">
              <a16:creationId xmlns:a16="http://schemas.microsoft.com/office/drawing/2014/main" id="{1EBF124E-20A0-4A30-964E-839BE86E028F}"/>
            </a:ext>
          </a:extLst>
        </xdr:cNvPr>
        <xdr:cNvCxnSpPr>
          <a:stCxn id="99" idx="1"/>
        </xdr:cNvCxnSpPr>
      </xdr:nvCxnSpPr>
      <xdr:spPr>
        <a:xfrm flipH="1" flipV="1">
          <a:off x="6822144" y="12120284"/>
          <a:ext cx="1595714" cy="38548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551329</xdr:colOff>
      <xdr:row>166</xdr:row>
      <xdr:rowOff>67237</xdr:rowOff>
    </xdr:from>
    <xdr:to>
      <xdr:col>19</xdr:col>
      <xdr:colOff>80682</xdr:colOff>
      <xdr:row>171</xdr:row>
      <xdr:rowOff>168088</xdr:rowOff>
    </xdr:to>
    <xdr:sp macro="" textlink="">
      <xdr:nvSpPr>
        <xdr:cNvPr id="99" name="TextBox 98">
          <a:extLst>
            <a:ext uri="{FF2B5EF4-FFF2-40B4-BE49-F238E27FC236}">
              <a16:creationId xmlns:a16="http://schemas.microsoft.com/office/drawing/2014/main" id="{AC6EDF4E-CD12-42CC-AB45-AFF94732E062}"/>
            </a:ext>
          </a:extLst>
        </xdr:cNvPr>
        <xdr:cNvSpPr txBox="1"/>
      </xdr:nvSpPr>
      <xdr:spPr>
        <a:xfrm>
          <a:off x="8417858" y="11979090"/>
          <a:ext cx="1344706" cy="10533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allow user to save their progress as soon as they clicked other forms/the navigation buttons</a:t>
          </a:r>
        </a:p>
      </xdr:txBody>
    </xdr:sp>
    <xdr:clientData/>
  </xdr:twoCellAnchor>
  <xdr:twoCellAnchor>
    <xdr:from>
      <xdr:col>7</xdr:col>
      <xdr:colOff>593911</xdr:colOff>
      <xdr:row>160</xdr:row>
      <xdr:rowOff>112060</xdr:rowOff>
    </xdr:from>
    <xdr:to>
      <xdr:col>10</xdr:col>
      <xdr:colOff>430305</xdr:colOff>
      <xdr:row>163</xdr:row>
      <xdr:rowOff>67235</xdr:rowOff>
    </xdr:to>
    <xdr:cxnSp macro="">
      <xdr:nvCxnSpPr>
        <xdr:cNvPr id="102" name="Straight Arrow Connector 101">
          <a:extLst>
            <a:ext uri="{FF2B5EF4-FFF2-40B4-BE49-F238E27FC236}">
              <a16:creationId xmlns:a16="http://schemas.microsoft.com/office/drawing/2014/main" id="{2F26D486-5039-47CC-B1CC-6F86BDEE76D6}"/>
            </a:ext>
          </a:extLst>
        </xdr:cNvPr>
        <xdr:cNvCxnSpPr>
          <a:stCxn id="118" idx="2"/>
        </xdr:cNvCxnSpPr>
      </xdr:nvCxnSpPr>
      <xdr:spPr>
        <a:xfrm flipH="1">
          <a:off x="3014382" y="10880913"/>
          <a:ext cx="1651747"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448236</xdr:colOff>
      <xdr:row>160</xdr:row>
      <xdr:rowOff>112060</xdr:rowOff>
    </xdr:from>
    <xdr:to>
      <xdr:col>10</xdr:col>
      <xdr:colOff>430305</xdr:colOff>
      <xdr:row>163</xdr:row>
      <xdr:rowOff>67235</xdr:rowOff>
    </xdr:to>
    <xdr:cxnSp macro="">
      <xdr:nvCxnSpPr>
        <xdr:cNvPr id="105" name="Straight Arrow Connector 104">
          <a:extLst>
            <a:ext uri="{FF2B5EF4-FFF2-40B4-BE49-F238E27FC236}">
              <a16:creationId xmlns:a16="http://schemas.microsoft.com/office/drawing/2014/main" id="{2544A1CB-944C-422E-A2B2-A549342DBED6}"/>
            </a:ext>
          </a:extLst>
        </xdr:cNvPr>
        <xdr:cNvCxnSpPr>
          <a:stCxn id="118" idx="2"/>
        </xdr:cNvCxnSpPr>
      </xdr:nvCxnSpPr>
      <xdr:spPr>
        <a:xfrm flipH="1">
          <a:off x="3473824" y="10880913"/>
          <a:ext cx="1192305"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235323</xdr:colOff>
      <xdr:row>160</xdr:row>
      <xdr:rowOff>112060</xdr:rowOff>
    </xdr:from>
    <xdr:to>
      <xdr:col>10</xdr:col>
      <xdr:colOff>430305</xdr:colOff>
      <xdr:row>163</xdr:row>
      <xdr:rowOff>67235</xdr:rowOff>
    </xdr:to>
    <xdr:cxnSp macro="">
      <xdr:nvCxnSpPr>
        <xdr:cNvPr id="106" name="Straight Arrow Connector 105">
          <a:extLst>
            <a:ext uri="{FF2B5EF4-FFF2-40B4-BE49-F238E27FC236}">
              <a16:creationId xmlns:a16="http://schemas.microsoft.com/office/drawing/2014/main" id="{C2FE5F04-352B-404A-A37B-7D446581EA59}"/>
            </a:ext>
          </a:extLst>
        </xdr:cNvPr>
        <xdr:cNvCxnSpPr>
          <a:stCxn id="118" idx="2"/>
        </xdr:cNvCxnSpPr>
      </xdr:nvCxnSpPr>
      <xdr:spPr>
        <a:xfrm flipH="1">
          <a:off x="3866029" y="10880913"/>
          <a:ext cx="800100"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33617</xdr:colOff>
      <xdr:row>160</xdr:row>
      <xdr:rowOff>112060</xdr:rowOff>
    </xdr:from>
    <xdr:to>
      <xdr:col>10</xdr:col>
      <xdr:colOff>430305</xdr:colOff>
      <xdr:row>163</xdr:row>
      <xdr:rowOff>89647</xdr:rowOff>
    </xdr:to>
    <xdr:cxnSp macro="">
      <xdr:nvCxnSpPr>
        <xdr:cNvPr id="109" name="Straight Arrow Connector 108">
          <a:extLst>
            <a:ext uri="{FF2B5EF4-FFF2-40B4-BE49-F238E27FC236}">
              <a16:creationId xmlns:a16="http://schemas.microsoft.com/office/drawing/2014/main" id="{F9FB7605-491F-4CA4-A4E9-5FA1D4012F74}"/>
            </a:ext>
          </a:extLst>
        </xdr:cNvPr>
        <xdr:cNvCxnSpPr>
          <a:stCxn id="118" idx="2"/>
        </xdr:cNvCxnSpPr>
      </xdr:nvCxnSpPr>
      <xdr:spPr>
        <a:xfrm flipH="1">
          <a:off x="4269441" y="10880913"/>
          <a:ext cx="39668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10</xdr:col>
      <xdr:colOff>470649</xdr:colOff>
      <xdr:row>163</xdr:row>
      <xdr:rowOff>85166</xdr:rowOff>
    </xdr:to>
    <xdr:cxnSp macro="">
      <xdr:nvCxnSpPr>
        <xdr:cNvPr id="111" name="Straight Arrow Connector 110">
          <a:extLst>
            <a:ext uri="{FF2B5EF4-FFF2-40B4-BE49-F238E27FC236}">
              <a16:creationId xmlns:a16="http://schemas.microsoft.com/office/drawing/2014/main" id="{FF895EB6-9110-4ACC-B848-739CA8F80029}"/>
            </a:ext>
          </a:extLst>
        </xdr:cNvPr>
        <xdr:cNvCxnSpPr>
          <a:stCxn id="118" idx="2"/>
        </xdr:cNvCxnSpPr>
      </xdr:nvCxnSpPr>
      <xdr:spPr>
        <a:xfrm>
          <a:off x="4666129" y="10880913"/>
          <a:ext cx="40344" cy="54460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367552</xdr:colOff>
      <xdr:row>157</xdr:row>
      <xdr:rowOff>51549</xdr:rowOff>
    </xdr:from>
    <xdr:to>
      <xdr:col>12</xdr:col>
      <xdr:colOff>493059</xdr:colOff>
      <xdr:row>160</xdr:row>
      <xdr:rowOff>112060</xdr:rowOff>
    </xdr:to>
    <xdr:sp macro="" textlink="">
      <xdr:nvSpPr>
        <xdr:cNvPr id="118" name="TextBox 117">
          <a:extLst>
            <a:ext uri="{FF2B5EF4-FFF2-40B4-BE49-F238E27FC236}">
              <a16:creationId xmlns:a16="http://schemas.microsoft.com/office/drawing/2014/main" id="{BBC5A012-195F-4F14-82F5-35F5B6B42C2C}"/>
            </a:ext>
          </a:extLst>
        </xdr:cNvPr>
        <xdr:cNvSpPr txBox="1"/>
      </xdr:nvSpPr>
      <xdr:spPr>
        <a:xfrm>
          <a:off x="3393140" y="10237696"/>
          <a:ext cx="2545978" cy="6432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Navigation button to</a:t>
          </a:r>
          <a:r>
            <a:rPr lang="en-AU" sz="1000" baseline="0"/>
            <a:t> go through all the available tables/userforms needed to complete the study entry.</a:t>
          </a:r>
        </a:p>
      </xdr:txBody>
    </xdr:sp>
    <xdr:clientData/>
  </xdr:twoCellAnchor>
  <xdr:twoCellAnchor>
    <xdr:from>
      <xdr:col>10</xdr:col>
      <xdr:colOff>430305</xdr:colOff>
      <xdr:row>160</xdr:row>
      <xdr:rowOff>112060</xdr:rowOff>
    </xdr:from>
    <xdr:to>
      <xdr:col>11</xdr:col>
      <xdr:colOff>268941</xdr:colOff>
      <xdr:row>163</xdr:row>
      <xdr:rowOff>56029</xdr:rowOff>
    </xdr:to>
    <xdr:cxnSp macro="">
      <xdr:nvCxnSpPr>
        <xdr:cNvPr id="125" name="Straight Arrow Connector 124">
          <a:extLst>
            <a:ext uri="{FF2B5EF4-FFF2-40B4-BE49-F238E27FC236}">
              <a16:creationId xmlns:a16="http://schemas.microsoft.com/office/drawing/2014/main" id="{030255FE-D3AE-44BC-955C-D92B71281FA9}"/>
            </a:ext>
          </a:extLst>
        </xdr:cNvPr>
        <xdr:cNvCxnSpPr>
          <a:stCxn id="118" idx="2"/>
        </xdr:cNvCxnSpPr>
      </xdr:nvCxnSpPr>
      <xdr:spPr>
        <a:xfrm>
          <a:off x="4666129" y="10880913"/>
          <a:ext cx="443753" cy="51546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12</xdr:col>
      <xdr:colOff>134471</xdr:colOff>
      <xdr:row>163</xdr:row>
      <xdr:rowOff>100853</xdr:rowOff>
    </xdr:to>
    <xdr:cxnSp macro="">
      <xdr:nvCxnSpPr>
        <xdr:cNvPr id="134" name="Straight Arrow Connector 133">
          <a:extLst>
            <a:ext uri="{FF2B5EF4-FFF2-40B4-BE49-F238E27FC236}">
              <a16:creationId xmlns:a16="http://schemas.microsoft.com/office/drawing/2014/main" id="{147BD7A7-56FE-4BC9-A15E-A1430524D578}"/>
            </a:ext>
          </a:extLst>
        </xdr:cNvPr>
        <xdr:cNvCxnSpPr>
          <a:stCxn id="118" idx="2"/>
        </xdr:cNvCxnSpPr>
      </xdr:nvCxnSpPr>
      <xdr:spPr>
        <a:xfrm>
          <a:off x="4666129" y="10880913"/>
          <a:ext cx="914401" cy="56029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134470</xdr:colOff>
      <xdr:row>160</xdr:row>
      <xdr:rowOff>112060</xdr:rowOff>
    </xdr:from>
    <xdr:to>
      <xdr:col>10</xdr:col>
      <xdr:colOff>430305</xdr:colOff>
      <xdr:row>163</xdr:row>
      <xdr:rowOff>78441</xdr:rowOff>
    </xdr:to>
    <xdr:cxnSp macro="">
      <xdr:nvCxnSpPr>
        <xdr:cNvPr id="138" name="Straight Arrow Connector 137">
          <a:extLst>
            <a:ext uri="{FF2B5EF4-FFF2-40B4-BE49-F238E27FC236}">
              <a16:creationId xmlns:a16="http://schemas.microsoft.com/office/drawing/2014/main" id="{BC778229-8F26-4945-86BD-F9FBB9C31199}"/>
            </a:ext>
          </a:extLst>
        </xdr:cNvPr>
        <xdr:cNvCxnSpPr>
          <a:stCxn id="118" idx="2"/>
        </xdr:cNvCxnSpPr>
      </xdr:nvCxnSpPr>
      <xdr:spPr>
        <a:xfrm flipH="1">
          <a:off x="2554941" y="10880913"/>
          <a:ext cx="2111188" cy="53788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12</xdr:col>
      <xdr:colOff>549088</xdr:colOff>
      <xdr:row>163</xdr:row>
      <xdr:rowOff>89647</xdr:rowOff>
    </xdr:to>
    <xdr:cxnSp macro="">
      <xdr:nvCxnSpPr>
        <xdr:cNvPr id="140" name="Straight Arrow Connector 139">
          <a:extLst>
            <a:ext uri="{FF2B5EF4-FFF2-40B4-BE49-F238E27FC236}">
              <a16:creationId xmlns:a16="http://schemas.microsoft.com/office/drawing/2014/main" id="{269F211B-28B5-48D1-84DE-0D6F5C75177E}"/>
            </a:ext>
          </a:extLst>
        </xdr:cNvPr>
        <xdr:cNvCxnSpPr>
          <a:stCxn id="118" idx="2"/>
        </xdr:cNvCxnSpPr>
      </xdr:nvCxnSpPr>
      <xdr:spPr>
        <a:xfrm>
          <a:off x="4666129" y="10880913"/>
          <a:ext cx="132901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13</xdr:col>
      <xdr:colOff>383242</xdr:colOff>
      <xdr:row>163</xdr:row>
      <xdr:rowOff>114300</xdr:rowOff>
    </xdr:to>
    <xdr:cxnSp macro="">
      <xdr:nvCxnSpPr>
        <xdr:cNvPr id="142" name="Straight Arrow Connector 141">
          <a:extLst>
            <a:ext uri="{FF2B5EF4-FFF2-40B4-BE49-F238E27FC236}">
              <a16:creationId xmlns:a16="http://schemas.microsoft.com/office/drawing/2014/main" id="{DA30A739-5F6D-48CA-9C11-CD34DF825E66}"/>
            </a:ext>
          </a:extLst>
        </xdr:cNvPr>
        <xdr:cNvCxnSpPr>
          <a:stCxn id="118" idx="2"/>
        </xdr:cNvCxnSpPr>
      </xdr:nvCxnSpPr>
      <xdr:spPr>
        <a:xfrm>
          <a:off x="4666129" y="10880913"/>
          <a:ext cx="1768289" cy="57374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14</xdr:col>
      <xdr:colOff>268941</xdr:colOff>
      <xdr:row>163</xdr:row>
      <xdr:rowOff>89647</xdr:rowOff>
    </xdr:to>
    <xdr:cxnSp macro="">
      <xdr:nvCxnSpPr>
        <xdr:cNvPr id="152" name="Straight Arrow Connector 151">
          <a:extLst>
            <a:ext uri="{FF2B5EF4-FFF2-40B4-BE49-F238E27FC236}">
              <a16:creationId xmlns:a16="http://schemas.microsoft.com/office/drawing/2014/main" id="{A4D3C127-2569-4E37-94C1-BBB8F676288F}"/>
            </a:ext>
          </a:extLst>
        </xdr:cNvPr>
        <xdr:cNvCxnSpPr>
          <a:stCxn id="118" idx="2"/>
        </xdr:cNvCxnSpPr>
      </xdr:nvCxnSpPr>
      <xdr:spPr>
        <a:xfrm>
          <a:off x="4666129" y="10880913"/>
          <a:ext cx="2259106"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15</xdr:col>
      <xdr:colOff>96370</xdr:colOff>
      <xdr:row>163</xdr:row>
      <xdr:rowOff>62752</xdr:rowOff>
    </xdr:to>
    <xdr:cxnSp macro="">
      <xdr:nvCxnSpPr>
        <xdr:cNvPr id="155" name="Straight Arrow Connector 154">
          <a:extLst>
            <a:ext uri="{FF2B5EF4-FFF2-40B4-BE49-F238E27FC236}">
              <a16:creationId xmlns:a16="http://schemas.microsoft.com/office/drawing/2014/main" id="{2CF62946-6C2A-4E74-8B2D-EBE035E69801}"/>
            </a:ext>
          </a:extLst>
        </xdr:cNvPr>
        <xdr:cNvCxnSpPr>
          <a:stCxn id="118" idx="2"/>
        </xdr:cNvCxnSpPr>
      </xdr:nvCxnSpPr>
      <xdr:spPr>
        <a:xfrm>
          <a:off x="4666129" y="10880913"/>
          <a:ext cx="2691653" cy="52219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197</xdr:row>
      <xdr:rowOff>0</xdr:rowOff>
    </xdr:from>
    <xdr:to>
      <xdr:col>15</xdr:col>
      <xdr:colOff>551122</xdr:colOff>
      <xdr:row>221</xdr:row>
      <xdr:rowOff>405</xdr:rowOff>
    </xdr:to>
    <xdr:pic>
      <xdr:nvPicPr>
        <xdr:cNvPr id="158" name="Picture 157">
          <a:extLst>
            <a:ext uri="{FF2B5EF4-FFF2-40B4-BE49-F238E27FC236}">
              <a16:creationId xmlns:a16="http://schemas.microsoft.com/office/drawing/2014/main" id="{0D31B456-6F22-4574-B937-120D86305334}"/>
            </a:ext>
          </a:extLst>
        </xdr:cNvPr>
        <xdr:cNvPicPr>
          <a:picLocks/>
        </xdr:cNvPicPr>
      </xdr:nvPicPr>
      <xdr:blipFill>
        <a:blip xmlns:r="http://schemas.openxmlformats.org/officeDocument/2006/relationships" r:embed="rId3"/>
        <a:stretch>
          <a:fillRect/>
        </a:stretch>
      </xdr:blipFill>
      <xdr:spPr>
        <a:xfrm>
          <a:off x="1815353" y="17817353"/>
          <a:ext cx="6004800" cy="4561200"/>
        </a:xfrm>
        <a:prstGeom prst="rect">
          <a:avLst/>
        </a:prstGeom>
      </xdr:spPr>
    </xdr:pic>
    <xdr:clientData/>
  </xdr:twoCellAnchor>
  <xdr:twoCellAnchor>
    <xdr:from>
      <xdr:col>3</xdr:col>
      <xdr:colOff>259977</xdr:colOff>
      <xdr:row>198</xdr:row>
      <xdr:rowOff>136711</xdr:rowOff>
    </xdr:from>
    <xdr:to>
      <xdr:col>5</xdr:col>
      <xdr:colOff>259977</xdr:colOff>
      <xdr:row>202</xdr:row>
      <xdr:rowOff>89647</xdr:rowOff>
    </xdr:to>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59977" y="181445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sponsor</a:t>
          </a:r>
        </a:p>
        <a:p>
          <a:endParaRPr lang="en-AU" sz="1000"/>
        </a:p>
      </xdr:txBody>
    </xdr:sp>
    <xdr:clientData/>
  </xdr:twoCellAnchor>
  <xdr:twoCellAnchor>
    <xdr:from>
      <xdr:col>5</xdr:col>
      <xdr:colOff>259977</xdr:colOff>
      <xdr:row>200</xdr:row>
      <xdr:rowOff>113179</xdr:rowOff>
    </xdr:from>
    <xdr:to>
      <xdr:col>9</xdr:col>
      <xdr:colOff>515470</xdr:colOff>
      <xdr:row>204</xdr:row>
      <xdr:rowOff>134471</xdr:rowOff>
    </xdr:to>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1470212" y="18502032"/>
          <a:ext cx="2675964"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277907</xdr:colOff>
      <xdr:row>204</xdr:row>
      <xdr:rowOff>153520</xdr:rowOff>
    </xdr:from>
    <xdr:to>
      <xdr:col>9</xdr:col>
      <xdr:colOff>515470</xdr:colOff>
      <xdr:row>206</xdr:row>
      <xdr:rowOff>78441</xdr:rowOff>
    </xdr:to>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1488142" y="19304373"/>
          <a:ext cx="2658034"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277907</xdr:colOff>
      <xdr:row>202</xdr:row>
      <xdr:rowOff>177052</xdr:rowOff>
    </xdr:from>
    <xdr:to>
      <xdr:col>5</xdr:col>
      <xdr:colOff>277907</xdr:colOff>
      <xdr:row>206</xdr:row>
      <xdr:rowOff>129988</xdr:rowOff>
    </xdr:to>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77907" y="18946905"/>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CRO</a:t>
          </a:r>
        </a:p>
        <a:p>
          <a:endParaRPr lang="en-AU" sz="1000"/>
        </a:p>
      </xdr:txBody>
    </xdr:sp>
    <xdr:clientData/>
  </xdr:twoCellAnchor>
  <xdr:twoCellAnchor>
    <xdr:from>
      <xdr:col>3</xdr:col>
      <xdr:colOff>329453</xdr:colOff>
      <xdr:row>208</xdr:row>
      <xdr:rowOff>161363</xdr:rowOff>
    </xdr:from>
    <xdr:to>
      <xdr:col>5</xdr:col>
      <xdr:colOff>329453</xdr:colOff>
      <xdr:row>212</xdr:row>
      <xdr:rowOff>114299</xdr:rowOff>
    </xdr:to>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329453" y="2007421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CRO</a:t>
          </a:r>
        </a:p>
      </xdr:txBody>
    </xdr:sp>
    <xdr:clientData/>
  </xdr:twoCellAnchor>
  <xdr:twoCellAnchor>
    <xdr:from>
      <xdr:col>5</xdr:col>
      <xdr:colOff>329453</xdr:colOff>
      <xdr:row>209</xdr:row>
      <xdr:rowOff>0</xdr:rowOff>
    </xdr:from>
    <xdr:to>
      <xdr:col>9</xdr:col>
      <xdr:colOff>582706</xdr:colOff>
      <xdr:row>210</xdr:row>
      <xdr:rowOff>137831</xdr:rowOff>
    </xdr:to>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1539688" y="20103353"/>
          <a:ext cx="2673724" cy="32833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481854</xdr:colOff>
      <xdr:row>206</xdr:row>
      <xdr:rowOff>190497</xdr:rowOff>
    </xdr:from>
    <xdr:to>
      <xdr:col>18</xdr:col>
      <xdr:colOff>481853</xdr:colOff>
      <xdr:row>211</xdr:row>
      <xdr:rowOff>89646</xdr:rowOff>
    </xdr:to>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8348383" y="19722350"/>
          <a:ext cx="1210235" cy="8516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a:t>
          </a:r>
        </a:p>
      </xdr:txBody>
    </xdr:sp>
    <xdr:clientData/>
  </xdr:twoCellAnchor>
  <xdr:twoCellAnchor>
    <xdr:from>
      <xdr:col>12</xdr:col>
      <xdr:colOff>190500</xdr:colOff>
      <xdr:row>209</xdr:row>
      <xdr:rowOff>44822</xdr:rowOff>
    </xdr:from>
    <xdr:to>
      <xdr:col>16</xdr:col>
      <xdr:colOff>481854</xdr:colOff>
      <xdr:row>210</xdr:row>
      <xdr:rowOff>112059</xdr:rowOff>
    </xdr:to>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5636559" y="20148175"/>
          <a:ext cx="2711824" cy="25773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376518</xdr:colOff>
      <xdr:row>211</xdr:row>
      <xdr:rowOff>129985</xdr:rowOff>
    </xdr:from>
    <xdr:to>
      <xdr:col>18</xdr:col>
      <xdr:colOff>376517</xdr:colOff>
      <xdr:row>216</xdr:row>
      <xdr:rowOff>29134</xdr:rowOff>
    </xdr:to>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8243047" y="20614338"/>
          <a:ext cx="1210235" cy="8516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lientData/>
  </xdr:twoCellAnchor>
  <xdr:twoCellAnchor>
    <xdr:from>
      <xdr:col>12</xdr:col>
      <xdr:colOff>174812</xdr:colOff>
      <xdr:row>212</xdr:row>
      <xdr:rowOff>96370</xdr:rowOff>
    </xdr:from>
    <xdr:to>
      <xdr:col>16</xdr:col>
      <xdr:colOff>376518</xdr:colOff>
      <xdr:row>213</xdr:row>
      <xdr:rowOff>174810</xdr:rowOff>
    </xdr:to>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5620871" y="20771223"/>
          <a:ext cx="2622176" cy="26894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224</xdr:row>
      <xdr:rowOff>0</xdr:rowOff>
    </xdr:from>
    <xdr:to>
      <xdr:col>15</xdr:col>
      <xdr:colOff>551122</xdr:colOff>
      <xdr:row>248</xdr:row>
      <xdr:rowOff>405</xdr:rowOff>
    </xdr:to>
    <xdr:pic>
      <xdr:nvPicPr>
        <xdr:cNvPr id="187" name="Picture 186">
          <a:extLst>
            <a:ext uri="{FF2B5EF4-FFF2-40B4-BE49-F238E27FC236}">
              <a16:creationId xmlns:a16="http://schemas.microsoft.com/office/drawing/2014/main" id="{D86F642B-44ED-4105-804D-9C946189033C}"/>
            </a:ext>
          </a:extLst>
        </xdr:cNvPr>
        <xdr:cNvPicPr>
          <a:picLocks/>
        </xdr:cNvPicPr>
      </xdr:nvPicPr>
      <xdr:blipFill>
        <a:blip xmlns:r="http://schemas.openxmlformats.org/officeDocument/2006/relationships" r:embed="rId4"/>
        <a:stretch>
          <a:fillRect/>
        </a:stretch>
      </xdr:blipFill>
      <xdr:spPr>
        <a:xfrm>
          <a:off x="1815353" y="22960853"/>
          <a:ext cx="6004800" cy="4561200"/>
        </a:xfrm>
        <a:prstGeom prst="rect">
          <a:avLst/>
        </a:prstGeom>
      </xdr:spPr>
    </xdr:pic>
    <xdr:clientData/>
  </xdr:twoCellAnchor>
  <xdr:twoCellAnchor>
    <xdr:from>
      <xdr:col>16</xdr:col>
      <xdr:colOff>560295</xdr:colOff>
      <xdr:row>228</xdr:row>
      <xdr:rowOff>123263</xdr:rowOff>
    </xdr:from>
    <xdr:to>
      <xdr:col>18</xdr:col>
      <xdr:colOff>560294</xdr:colOff>
      <xdr:row>232</xdr:row>
      <xdr:rowOff>76199</xdr:rowOff>
    </xdr:to>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8426824" y="2384611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contract is received</a:t>
          </a:r>
        </a:p>
      </xdr:txBody>
    </xdr:sp>
    <xdr:clientData/>
  </xdr:twoCellAnchor>
  <xdr:twoCellAnchor>
    <xdr:from>
      <xdr:col>12</xdr:col>
      <xdr:colOff>100853</xdr:colOff>
      <xdr:row>230</xdr:row>
      <xdr:rowOff>99731</xdr:rowOff>
    </xdr:from>
    <xdr:to>
      <xdr:col>16</xdr:col>
      <xdr:colOff>560295</xdr:colOff>
      <xdr:row>232</xdr:row>
      <xdr:rowOff>134471</xdr:rowOff>
    </xdr:to>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5546912" y="24203584"/>
          <a:ext cx="2879912" cy="41574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234</xdr:row>
      <xdr:rowOff>0</xdr:rowOff>
    </xdr:from>
    <xdr:to>
      <xdr:col>19</xdr:col>
      <xdr:colOff>0</xdr:colOff>
      <xdr:row>237</xdr:row>
      <xdr:rowOff>143436</xdr:rowOff>
    </xdr:to>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8471647" y="2486585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contract is completed</a:t>
          </a:r>
        </a:p>
      </xdr:txBody>
    </xdr:sp>
    <xdr:clientData/>
  </xdr:twoCellAnchor>
  <xdr:twoCellAnchor>
    <xdr:from>
      <xdr:col>12</xdr:col>
      <xdr:colOff>6724</xdr:colOff>
      <xdr:row>235</xdr:row>
      <xdr:rowOff>73959</xdr:rowOff>
    </xdr:from>
    <xdr:to>
      <xdr:col>17</xdr:col>
      <xdr:colOff>0</xdr:colOff>
      <xdr:row>235</xdr:row>
      <xdr:rowOff>166968</xdr:rowOff>
    </xdr:to>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5452783" y="25130312"/>
          <a:ext cx="3018864"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112060</xdr:colOff>
      <xdr:row>237</xdr:row>
      <xdr:rowOff>134472</xdr:rowOff>
    </xdr:from>
    <xdr:to>
      <xdr:col>16</xdr:col>
      <xdr:colOff>522195</xdr:colOff>
      <xdr:row>240</xdr:row>
      <xdr:rowOff>151279</xdr:rowOff>
    </xdr:to>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5558119" y="25571825"/>
          <a:ext cx="2830605"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522195</xdr:colOff>
      <xdr:row>238</xdr:row>
      <xdr:rowOff>174811</xdr:rowOff>
    </xdr:from>
    <xdr:to>
      <xdr:col>18</xdr:col>
      <xdr:colOff>522194</xdr:colOff>
      <xdr:row>242</xdr:row>
      <xdr:rowOff>127747</xdr:rowOff>
    </xdr:to>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8388724" y="258026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name of who completed the feasibility</a:t>
          </a:r>
          <a:endParaRPr lang="en-AU" sz="1000" baseline="0"/>
        </a:p>
      </xdr:txBody>
    </xdr:sp>
    <xdr:clientData/>
  </xdr:twoCellAnchor>
  <xdr:twoCellAnchor editAs="oneCell">
    <xdr:from>
      <xdr:col>6</xdr:col>
      <xdr:colOff>0</xdr:colOff>
      <xdr:row>252</xdr:row>
      <xdr:rowOff>0</xdr:rowOff>
    </xdr:from>
    <xdr:to>
      <xdr:col>15</xdr:col>
      <xdr:colOff>551122</xdr:colOff>
      <xdr:row>275</xdr:row>
      <xdr:rowOff>154500</xdr:rowOff>
    </xdr:to>
    <xdr:pic>
      <xdr:nvPicPr>
        <xdr:cNvPr id="203" name="Picture 202">
          <a:extLst>
            <a:ext uri="{FF2B5EF4-FFF2-40B4-BE49-F238E27FC236}">
              <a16:creationId xmlns:a16="http://schemas.microsoft.com/office/drawing/2014/main" id="{920B9557-3B79-4D06-B346-0090EDD3542F}"/>
            </a:ext>
          </a:extLst>
        </xdr:cNvPr>
        <xdr:cNvPicPr>
          <a:picLocks/>
        </xdr:cNvPicPr>
      </xdr:nvPicPr>
      <xdr:blipFill>
        <a:blip xmlns:r="http://schemas.openxmlformats.org/officeDocument/2006/relationships" r:embed="rId5"/>
        <a:stretch>
          <a:fillRect/>
        </a:stretch>
      </xdr:blipFill>
      <xdr:spPr>
        <a:xfrm>
          <a:off x="1815353" y="28294853"/>
          <a:ext cx="6004800" cy="4536000"/>
        </a:xfrm>
        <a:prstGeom prst="rect">
          <a:avLst/>
        </a:prstGeom>
      </xdr:spPr>
    </xdr:pic>
    <xdr:clientData/>
  </xdr:twoCellAnchor>
  <xdr:twoCellAnchor>
    <xdr:from>
      <xdr:col>16</xdr:col>
      <xdr:colOff>235325</xdr:colOff>
      <xdr:row>254</xdr:row>
      <xdr:rowOff>11205</xdr:rowOff>
    </xdr:from>
    <xdr:to>
      <xdr:col>18</xdr:col>
      <xdr:colOff>235324</xdr:colOff>
      <xdr:row>257</xdr:row>
      <xdr:rowOff>154641</xdr:rowOff>
    </xdr:to>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8101854" y="28687058"/>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lientData/>
  </xdr:twoCellAnchor>
  <xdr:twoCellAnchor>
    <xdr:from>
      <xdr:col>11</xdr:col>
      <xdr:colOff>224118</xdr:colOff>
      <xdr:row>255</xdr:row>
      <xdr:rowOff>178173</xdr:rowOff>
    </xdr:from>
    <xdr:to>
      <xdr:col>16</xdr:col>
      <xdr:colOff>235325</xdr:colOff>
      <xdr:row>259</xdr:row>
      <xdr:rowOff>44823</xdr:rowOff>
    </xdr:to>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5065059" y="29044526"/>
          <a:ext cx="3036795" cy="6286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212912</xdr:colOff>
      <xdr:row>258</xdr:row>
      <xdr:rowOff>100853</xdr:rowOff>
    </xdr:from>
    <xdr:to>
      <xdr:col>18</xdr:col>
      <xdr:colOff>212911</xdr:colOff>
      <xdr:row>262</xdr:row>
      <xdr:rowOff>53789</xdr:rowOff>
    </xdr:to>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8079441" y="2953870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275666</xdr:colOff>
      <xdr:row>260</xdr:row>
      <xdr:rowOff>77321</xdr:rowOff>
    </xdr:from>
    <xdr:to>
      <xdr:col>16</xdr:col>
      <xdr:colOff>212912</xdr:colOff>
      <xdr:row>261</xdr:row>
      <xdr:rowOff>62753</xdr:rowOff>
    </xdr:to>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5116607" y="29896174"/>
          <a:ext cx="2962834" cy="17593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381002</xdr:colOff>
      <xdr:row>263</xdr:row>
      <xdr:rowOff>135591</xdr:rowOff>
    </xdr:from>
    <xdr:to>
      <xdr:col>16</xdr:col>
      <xdr:colOff>197225</xdr:colOff>
      <xdr:row>265</xdr:row>
      <xdr:rowOff>50425</xdr:rowOff>
    </xdr:to>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5221943" y="30525944"/>
          <a:ext cx="2841811" cy="29583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197225</xdr:colOff>
      <xdr:row>263</xdr:row>
      <xdr:rowOff>73957</xdr:rowOff>
    </xdr:from>
    <xdr:to>
      <xdr:col>18</xdr:col>
      <xdr:colOff>197224</xdr:colOff>
      <xdr:row>267</xdr:row>
      <xdr:rowOff>26893</xdr:rowOff>
    </xdr:to>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8063754" y="30464310"/>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clientData/>
  </xdr:twoCellAnchor>
  <xdr:twoCellAnchor>
    <xdr:from>
      <xdr:col>16</xdr:col>
      <xdr:colOff>197224</xdr:colOff>
      <xdr:row>267</xdr:row>
      <xdr:rowOff>107576</xdr:rowOff>
    </xdr:from>
    <xdr:to>
      <xdr:col>18</xdr:col>
      <xdr:colOff>197223</xdr:colOff>
      <xdr:row>271</xdr:row>
      <xdr:rowOff>60512</xdr:rowOff>
    </xdr:to>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8063753" y="31259929"/>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466168</xdr:colOff>
      <xdr:row>265</xdr:row>
      <xdr:rowOff>86286</xdr:rowOff>
    </xdr:from>
    <xdr:to>
      <xdr:col>16</xdr:col>
      <xdr:colOff>197224</xdr:colOff>
      <xdr:row>269</xdr:row>
      <xdr:rowOff>84044</xdr:rowOff>
    </xdr:to>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5307109" y="30857639"/>
          <a:ext cx="2756644" cy="7597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248774</xdr:colOff>
      <xdr:row>267</xdr:row>
      <xdr:rowOff>149039</xdr:rowOff>
    </xdr:from>
    <xdr:to>
      <xdr:col>16</xdr:col>
      <xdr:colOff>136712</xdr:colOff>
      <xdr:row>273</xdr:row>
      <xdr:rowOff>68355</xdr:rowOff>
    </xdr:to>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5089715" y="31301392"/>
          <a:ext cx="2913526" cy="106231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136712</xdr:colOff>
      <xdr:row>271</xdr:row>
      <xdr:rowOff>91887</xdr:rowOff>
    </xdr:from>
    <xdr:to>
      <xdr:col>18</xdr:col>
      <xdr:colOff>136711</xdr:colOff>
      <xdr:row>275</xdr:row>
      <xdr:rowOff>44823</xdr:rowOff>
    </xdr:to>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8003241" y="32006240"/>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final</a:t>
          </a:r>
          <a:r>
            <a:rPr lang="en-AU" sz="1000" baseline="0"/>
            <a:t> site selection</a:t>
          </a:r>
        </a:p>
      </xdr:txBody>
    </xdr:sp>
    <xdr:clientData/>
  </xdr:twoCellAnchor>
  <xdr:twoCellAnchor editAs="oneCell">
    <xdr:from>
      <xdr:col>6</xdr:col>
      <xdr:colOff>0</xdr:colOff>
      <xdr:row>279</xdr:row>
      <xdr:rowOff>0</xdr:rowOff>
    </xdr:from>
    <xdr:to>
      <xdr:col>15</xdr:col>
      <xdr:colOff>551122</xdr:colOff>
      <xdr:row>303</xdr:row>
      <xdr:rowOff>19245</xdr:rowOff>
    </xdr:to>
    <xdr:pic>
      <xdr:nvPicPr>
        <xdr:cNvPr id="223" name="Picture 222">
          <a:extLst>
            <a:ext uri="{FF2B5EF4-FFF2-40B4-BE49-F238E27FC236}">
              <a16:creationId xmlns:a16="http://schemas.microsoft.com/office/drawing/2014/main" id="{2DC414A7-7EA1-41F6-B12C-3EC6A337CA87}"/>
            </a:ext>
          </a:extLst>
        </xdr:cNvPr>
        <xdr:cNvPicPr>
          <a:picLocks/>
        </xdr:cNvPicPr>
      </xdr:nvPicPr>
      <xdr:blipFill>
        <a:blip xmlns:r="http://schemas.openxmlformats.org/officeDocument/2006/relationships" r:embed="rId6"/>
        <a:stretch>
          <a:fillRect/>
        </a:stretch>
      </xdr:blipFill>
      <xdr:spPr>
        <a:xfrm>
          <a:off x="1815353" y="33438353"/>
          <a:ext cx="6004800" cy="4564800"/>
        </a:xfrm>
        <a:prstGeom prst="rect">
          <a:avLst/>
        </a:prstGeom>
      </xdr:spPr>
    </xdr:pic>
    <xdr:clientData/>
  </xdr:twoCellAnchor>
  <xdr:twoCellAnchor>
    <xdr:from>
      <xdr:col>16</xdr:col>
      <xdr:colOff>244288</xdr:colOff>
      <xdr:row>289</xdr:row>
      <xdr:rowOff>98610</xdr:rowOff>
    </xdr:from>
    <xdr:to>
      <xdr:col>18</xdr:col>
      <xdr:colOff>244287</xdr:colOff>
      <xdr:row>293</xdr:row>
      <xdr:rowOff>51546</xdr:rowOff>
    </xdr:to>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8110817" y="3544196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a:t>
          </a:r>
        </a:p>
      </xdr:txBody>
    </xdr:sp>
    <xdr:clientData/>
  </xdr:twoCellAnchor>
  <xdr:twoCellAnchor>
    <xdr:from>
      <xdr:col>11</xdr:col>
      <xdr:colOff>448237</xdr:colOff>
      <xdr:row>290</xdr:row>
      <xdr:rowOff>123267</xdr:rowOff>
    </xdr:from>
    <xdr:to>
      <xdr:col>16</xdr:col>
      <xdr:colOff>244288</xdr:colOff>
      <xdr:row>291</xdr:row>
      <xdr:rowOff>75078</xdr:rowOff>
    </xdr:to>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5289178" y="35657120"/>
          <a:ext cx="2821639"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11205</xdr:colOff>
      <xdr:row>306</xdr:row>
      <xdr:rowOff>156883</xdr:rowOff>
    </xdr:from>
    <xdr:to>
      <xdr:col>15</xdr:col>
      <xdr:colOff>569947</xdr:colOff>
      <xdr:row>329</xdr:row>
      <xdr:rowOff>57435</xdr:rowOff>
    </xdr:to>
    <xdr:pic>
      <xdr:nvPicPr>
        <xdr:cNvPr id="230" name="Picture 229">
          <a:extLst>
            <a:ext uri="{FF2B5EF4-FFF2-40B4-BE49-F238E27FC236}">
              <a16:creationId xmlns:a16="http://schemas.microsoft.com/office/drawing/2014/main" id="{DD056BB5-9900-4A54-9047-71D84CF74ABA}"/>
            </a:ext>
          </a:extLst>
        </xdr:cNvPr>
        <xdr:cNvPicPr>
          <a:picLocks noChangeAspect="1"/>
        </xdr:cNvPicPr>
      </xdr:nvPicPr>
      <xdr:blipFill>
        <a:blip xmlns:r="http://schemas.openxmlformats.org/officeDocument/2006/relationships" r:embed="rId7"/>
        <a:stretch>
          <a:fillRect/>
        </a:stretch>
      </xdr:blipFill>
      <xdr:spPr>
        <a:xfrm>
          <a:off x="1826558" y="38783559"/>
          <a:ext cx="6004800" cy="4282053"/>
        </a:xfrm>
        <a:prstGeom prst="rect">
          <a:avLst/>
        </a:prstGeom>
      </xdr:spPr>
    </xdr:pic>
    <xdr:clientData/>
  </xdr:twoCellAnchor>
  <xdr:twoCellAnchor>
    <xdr:from>
      <xdr:col>5</xdr:col>
      <xdr:colOff>289111</xdr:colOff>
      <xdr:row>312</xdr:row>
      <xdr:rowOff>161365</xdr:rowOff>
    </xdr:from>
    <xdr:to>
      <xdr:col>8</xdr:col>
      <xdr:colOff>324971</xdr:colOff>
      <xdr:row>315</xdr:row>
      <xdr:rowOff>56030</xdr:rowOff>
    </xdr:to>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1499346" y="39942247"/>
          <a:ext cx="1851213" cy="46616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289111</xdr:colOff>
      <xdr:row>311</xdr:row>
      <xdr:rowOff>42582</xdr:rowOff>
    </xdr:from>
    <xdr:to>
      <xdr:col>5</xdr:col>
      <xdr:colOff>289111</xdr:colOff>
      <xdr:row>314</xdr:row>
      <xdr:rowOff>89648</xdr:rowOff>
    </xdr:to>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89111" y="39632964"/>
          <a:ext cx="121023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a:t>
          </a:r>
        </a:p>
      </xdr:txBody>
    </xdr:sp>
    <xdr:clientData/>
  </xdr:twoCellAnchor>
  <xdr:twoCellAnchor>
    <xdr:from>
      <xdr:col>6</xdr:col>
      <xdr:colOff>519952</xdr:colOff>
      <xdr:row>307</xdr:row>
      <xdr:rowOff>116541</xdr:rowOff>
    </xdr:from>
    <xdr:to>
      <xdr:col>9</xdr:col>
      <xdr:colOff>369794</xdr:colOff>
      <xdr:row>310</xdr:row>
      <xdr:rowOff>179295</xdr:rowOff>
    </xdr:to>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2335305" y="38944923"/>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companies that can approve ethics</a:t>
          </a:r>
        </a:p>
      </xdr:txBody>
    </xdr:sp>
    <xdr:clientData/>
  </xdr:twoCellAnchor>
  <xdr:twoCellAnchor>
    <xdr:from>
      <xdr:col>6</xdr:col>
      <xdr:colOff>515471</xdr:colOff>
      <xdr:row>310</xdr:row>
      <xdr:rowOff>179295</xdr:rowOff>
    </xdr:from>
    <xdr:to>
      <xdr:col>8</xdr:col>
      <xdr:colOff>142315</xdr:colOff>
      <xdr:row>313</xdr:row>
      <xdr:rowOff>89647</xdr:rowOff>
    </xdr:to>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2330824" y="39579177"/>
          <a:ext cx="837079" cy="48185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280147</xdr:colOff>
      <xdr:row>310</xdr:row>
      <xdr:rowOff>179295</xdr:rowOff>
    </xdr:from>
    <xdr:to>
      <xdr:col>8</xdr:col>
      <xdr:colOff>142315</xdr:colOff>
      <xdr:row>313</xdr:row>
      <xdr:rowOff>67236</xdr:rowOff>
    </xdr:to>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2700618" y="39579177"/>
          <a:ext cx="467285"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571500</xdr:colOff>
      <xdr:row>310</xdr:row>
      <xdr:rowOff>179295</xdr:rowOff>
    </xdr:from>
    <xdr:to>
      <xdr:col>8</xdr:col>
      <xdr:colOff>142315</xdr:colOff>
      <xdr:row>313</xdr:row>
      <xdr:rowOff>123265</xdr:rowOff>
    </xdr:to>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2991971" y="39579177"/>
          <a:ext cx="175932" cy="5154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310</xdr:row>
      <xdr:rowOff>179295</xdr:rowOff>
    </xdr:from>
    <xdr:to>
      <xdr:col>8</xdr:col>
      <xdr:colOff>336177</xdr:colOff>
      <xdr:row>313</xdr:row>
      <xdr:rowOff>100853</xdr:rowOff>
    </xdr:to>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3167903" y="39579177"/>
          <a:ext cx="193862"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310</xdr:row>
      <xdr:rowOff>179295</xdr:rowOff>
    </xdr:from>
    <xdr:to>
      <xdr:col>9</xdr:col>
      <xdr:colOff>89647</xdr:colOff>
      <xdr:row>313</xdr:row>
      <xdr:rowOff>100853</xdr:rowOff>
    </xdr:to>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3167903" y="39579177"/>
          <a:ext cx="552450"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295834</xdr:colOff>
      <xdr:row>315</xdr:row>
      <xdr:rowOff>172572</xdr:rowOff>
    </xdr:from>
    <xdr:to>
      <xdr:col>5</xdr:col>
      <xdr:colOff>295834</xdr:colOff>
      <xdr:row>319</xdr:row>
      <xdr:rowOff>11206</xdr:rowOff>
    </xdr:to>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95834" y="40524954"/>
          <a:ext cx="1210235" cy="600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respond is received</a:t>
          </a:r>
        </a:p>
      </xdr:txBody>
    </xdr:sp>
    <xdr:clientData/>
  </xdr:twoCellAnchor>
  <xdr:twoCellAnchor>
    <xdr:from>
      <xdr:col>5</xdr:col>
      <xdr:colOff>295834</xdr:colOff>
      <xdr:row>317</xdr:row>
      <xdr:rowOff>0</xdr:rowOff>
    </xdr:from>
    <xdr:to>
      <xdr:col>8</xdr:col>
      <xdr:colOff>336177</xdr:colOff>
      <xdr:row>317</xdr:row>
      <xdr:rowOff>91889</xdr:rowOff>
    </xdr:to>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1506069" y="40733382"/>
          <a:ext cx="1855696" cy="9188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313</xdr:row>
      <xdr:rowOff>145677</xdr:rowOff>
    </xdr:from>
    <xdr:to>
      <xdr:col>19</xdr:col>
      <xdr:colOff>313765</xdr:colOff>
      <xdr:row>316</xdr:row>
      <xdr:rowOff>33618</xdr:rowOff>
    </xdr:to>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8101851" y="40117059"/>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lientData/>
  </xdr:twoCellAnchor>
  <xdr:twoCellAnchor>
    <xdr:from>
      <xdr:col>10</xdr:col>
      <xdr:colOff>56031</xdr:colOff>
      <xdr:row>314</xdr:row>
      <xdr:rowOff>184898</xdr:rowOff>
    </xdr:from>
    <xdr:to>
      <xdr:col>16</xdr:col>
      <xdr:colOff>235322</xdr:colOff>
      <xdr:row>318</xdr:row>
      <xdr:rowOff>22412</xdr:rowOff>
    </xdr:to>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4291855" y="40346780"/>
          <a:ext cx="3809996" cy="59951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230839</xdr:colOff>
      <xdr:row>317</xdr:row>
      <xdr:rowOff>174812</xdr:rowOff>
    </xdr:from>
    <xdr:to>
      <xdr:col>19</xdr:col>
      <xdr:colOff>309282</xdr:colOff>
      <xdr:row>320</xdr:row>
      <xdr:rowOff>62753</xdr:rowOff>
    </xdr:to>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8097368" y="40908194"/>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lientData/>
  </xdr:twoCellAnchor>
  <xdr:twoCellAnchor>
    <xdr:from>
      <xdr:col>9</xdr:col>
      <xdr:colOff>567019</xdr:colOff>
      <xdr:row>319</xdr:row>
      <xdr:rowOff>23533</xdr:rowOff>
    </xdr:from>
    <xdr:to>
      <xdr:col>16</xdr:col>
      <xdr:colOff>230839</xdr:colOff>
      <xdr:row>319</xdr:row>
      <xdr:rowOff>174812</xdr:rowOff>
    </xdr:to>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4197725" y="41137915"/>
          <a:ext cx="3899643" cy="1512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333</xdr:row>
      <xdr:rowOff>11205</xdr:rowOff>
    </xdr:from>
    <xdr:to>
      <xdr:col>15</xdr:col>
      <xdr:colOff>551122</xdr:colOff>
      <xdr:row>357</xdr:row>
      <xdr:rowOff>19246</xdr:rowOff>
    </xdr:to>
    <xdr:pic>
      <xdr:nvPicPr>
        <xdr:cNvPr id="284" name="Picture 283">
          <a:extLst>
            <a:ext uri="{FF2B5EF4-FFF2-40B4-BE49-F238E27FC236}">
              <a16:creationId xmlns:a16="http://schemas.microsoft.com/office/drawing/2014/main" id="{0FC83853-B1A2-4C3A-948C-55E45DC8F471}"/>
            </a:ext>
          </a:extLst>
        </xdr:cNvPr>
        <xdr:cNvPicPr>
          <a:picLocks/>
        </xdr:cNvPicPr>
      </xdr:nvPicPr>
      <xdr:blipFill>
        <a:blip xmlns:r="http://schemas.openxmlformats.org/officeDocument/2006/relationships" r:embed="rId8"/>
        <a:stretch>
          <a:fillRect/>
        </a:stretch>
      </xdr:blipFill>
      <xdr:spPr>
        <a:xfrm>
          <a:off x="1815353" y="43803793"/>
          <a:ext cx="6004800" cy="4564800"/>
        </a:xfrm>
        <a:prstGeom prst="rect">
          <a:avLst/>
        </a:prstGeom>
      </xdr:spPr>
    </xdr:pic>
    <xdr:clientData/>
  </xdr:twoCellAnchor>
  <xdr:twoCellAnchor>
    <xdr:from>
      <xdr:col>7</xdr:col>
      <xdr:colOff>571499</xdr:colOff>
      <xdr:row>334</xdr:row>
      <xdr:rowOff>78441</xdr:rowOff>
    </xdr:from>
    <xdr:to>
      <xdr:col>10</xdr:col>
      <xdr:colOff>421341</xdr:colOff>
      <xdr:row>337</xdr:row>
      <xdr:rowOff>141195</xdr:rowOff>
    </xdr:to>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2991970" y="44061529"/>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companies that can approve governance review</a:t>
          </a:r>
        </a:p>
      </xdr:txBody>
    </xdr:sp>
    <xdr:clientData/>
  </xdr:twoCellAnchor>
  <xdr:twoCellAnchor>
    <xdr:from>
      <xdr:col>9</xdr:col>
      <xdr:colOff>193862</xdr:colOff>
      <xdr:row>337</xdr:row>
      <xdr:rowOff>141195</xdr:rowOff>
    </xdr:from>
    <xdr:to>
      <xdr:col>12</xdr:col>
      <xdr:colOff>56029</xdr:colOff>
      <xdr:row>340</xdr:row>
      <xdr:rowOff>33618</xdr:rowOff>
    </xdr:to>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3824568" y="44695783"/>
          <a:ext cx="1677520"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212912</xdr:colOff>
      <xdr:row>337</xdr:row>
      <xdr:rowOff>156883</xdr:rowOff>
    </xdr:from>
    <xdr:to>
      <xdr:col>10</xdr:col>
      <xdr:colOff>537882</xdr:colOff>
      <xdr:row>340</xdr:row>
      <xdr:rowOff>44824</xdr:rowOff>
    </xdr:to>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3843618" y="44711471"/>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193862</xdr:colOff>
      <xdr:row>337</xdr:row>
      <xdr:rowOff>141195</xdr:rowOff>
    </xdr:from>
    <xdr:to>
      <xdr:col>9</xdr:col>
      <xdr:colOff>437029</xdr:colOff>
      <xdr:row>340</xdr:row>
      <xdr:rowOff>33618</xdr:rowOff>
    </xdr:to>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3824568" y="44695783"/>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414618</xdr:colOff>
      <xdr:row>337</xdr:row>
      <xdr:rowOff>141195</xdr:rowOff>
    </xdr:from>
    <xdr:to>
      <xdr:col>9</xdr:col>
      <xdr:colOff>193862</xdr:colOff>
      <xdr:row>340</xdr:row>
      <xdr:rowOff>11206</xdr:rowOff>
    </xdr:to>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3440206" y="44695783"/>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470648</xdr:colOff>
      <xdr:row>337</xdr:row>
      <xdr:rowOff>156883</xdr:rowOff>
    </xdr:from>
    <xdr:to>
      <xdr:col>9</xdr:col>
      <xdr:colOff>201706</xdr:colOff>
      <xdr:row>340</xdr:row>
      <xdr:rowOff>11206</xdr:rowOff>
    </xdr:to>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2891119" y="44711471"/>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56030</xdr:colOff>
      <xdr:row>337</xdr:row>
      <xdr:rowOff>141195</xdr:rowOff>
    </xdr:from>
    <xdr:to>
      <xdr:col>9</xdr:col>
      <xdr:colOff>193862</xdr:colOff>
      <xdr:row>340</xdr:row>
      <xdr:rowOff>44824</xdr:rowOff>
    </xdr:to>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2476501" y="44695783"/>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432549</xdr:colOff>
      <xdr:row>337</xdr:row>
      <xdr:rowOff>141195</xdr:rowOff>
    </xdr:from>
    <xdr:to>
      <xdr:col>9</xdr:col>
      <xdr:colOff>193862</xdr:colOff>
      <xdr:row>339</xdr:row>
      <xdr:rowOff>163607</xdr:rowOff>
    </xdr:to>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2247902" y="44695783"/>
          <a:ext cx="1576666" cy="40341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340658</xdr:colOff>
      <xdr:row>342</xdr:row>
      <xdr:rowOff>11205</xdr:rowOff>
    </xdr:from>
    <xdr:to>
      <xdr:col>8</xdr:col>
      <xdr:colOff>358588</xdr:colOff>
      <xdr:row>342</xdr:row>
      <xdr:rowOff>33618</xdr:rowOff>
    </xdr:to>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a:off x="1550893" y="45518293"/>
          <a:ext cx="1833283" cy="2241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168088</xdr:colOff>
      <xdr:row>340</xdr:row>
      <xdr:rowOff>82922</xdr:rowOff>
    </xdr:from>
    <xdr:to>
      <xdr:col>5</xdr:col>
      <xdr:colOff>340658</xdr:colOff>
      <xdr:row>343</xdr:row>
      <xdr:rowOff>129988</xdr:rowOff>
    </xdr:to>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68088" y="4520901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clientData/>
  </xdr:twoCellAnchor>
  <xdr:twoCellAnchor>
    <xdr:from>
      <xdr:col>3</xdr:col>
      <xdr:colOff>107577</xdr:colOff>
      <xdr:row>343</xdr:row>
      <xdr:rowOff>190499</xdr:rowOff>
    </xdr:from>
    <xdr:to>
      <xdr:col>5</xdr:col>
      <xdr:colOff>280147</xdr:colOff>
      <xdr:row>347</xdr:row>
      <xdr:rowOff>47065</xdr:rowOff>
    </xdr:to>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07577" y="4588808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lientData/>
  </xdr:twoCellAnchor>
  <xdr:twoCellAnchor>
    <xdr:from>
      <xdr:col>5</xdr:col>
      <xdr:colOff>280147</xdr:colOff>
      <xdr:row>343</xdr:row>
      <xdr:rowOff>145677</xdr:rowOff>
    </xdr:from>
    <xdr:to>
      <xdr:col>8</xdr:col>
      <xdr:colOff>313765</xdr:colOff>
      <xdr:row>345</xdr:row>
      <xdr:rowOff>118782</xdr:rowOff>
    </xdr:to>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1490382" y="45843265"/>
          <a:ext cx="1848971"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354106</xdr:colOff>
      <xdr:row>345</xdr:row>
      <xdr:rowOff>156884</xdr:rowOff>
    </xdr:from>
    <xdr:to>
      <xdr:col>8</xdr:col>
      <xdr:colOff>392206</xdr:colOff>
      <xdr:row>349</xdr:row>
      <xdr:rowOff>69477</xdr:rowOff>
    </xdr:to>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1564341" y="46235472"/>
          <a:ext cx="1853453" cy="67459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181536</xdr:colOff>
      <xdr:row>347</xdr:row>
      <xdr:rowOff>141194</xdr:rowOff>
    </xdr:from>
    <xdr:to>
      <xdr:col>5</xdr:col>
      <xdr:colOff>354106</xdr:colOff>
      <xdr:row>350</xdr:row>
      <xdr:rowOff>188260</xdr:rowOff>
    </xdr:to>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81536" y="4660078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clientData/>
  </xdr:twoCellAnchor>
  <xdr:twoCellAnchor editAs="oneCell">
    <xdr:from>
      <xdr:col>6</xdr:col>
      <xdr:colOff>0</xdr:colOff>
      <xdr:row>360</xdr:row>
      <xdr:rowOff>0</xdr:rowOff>
    </xdr:from>
    <xdr:to>
      <xdr:col>15</xdr:col>
      <xdr:colOff>554932</xdr:colOff>
      <xdr:row>384</xdr:row>
      <xdr:rowOff>15437</xdr:rowOff>
    </xdr:to>
    <xdr:pic>
      <xdr:nvPicPr>
        <xdr:cNvPr id="326" name="Picture 325">
          <a:extLst>
            <a:ext uri="{FF2B5EF4-FFF2-40B4-BE49-F238E27FC236}">
              <a16:creationId xmlns:a16="http://schemas.microsoft.com/office/drawing/2014/main" id="{54FEED73-3D8C-4B91-9C58-E5C30B68CE00}"/>
            </a:ext>
          </a:extLst>
        </xdr:cNvPr>
        <xdr:cNvPicPr>
          <a:picLocks/>
        </xdr:cNvPicPr>
      </xdr:nvPicPr>
      <xdr:blipFill>
        <a:blip xmlns:r="http://schemas.openxmlformats.org/officeDocument/2006/relationships" r:embed="rId9"/>
        <a:stretch>
          <a:fillRect/>
        </a:stretch>
      </xdr:blipFill>
      <xdr:spPr>
        <a:xfrm>
          <a:off x="3676650" y="62055375"/>
          <a:ext cx="6041332" cy="4358837"/>
        </a:xfrm>
        <a:prstGeom prst="rect">
          <a:avLst/>
        </a:prstGeom>
      </xdr:spPr>
    </xdr:pic>
    <xdr:clientData/>
  </xdr:twoCellAnchor>
  <xdr:twoCellAnchor>
    <xdr:from>
      <xdr:col>5</xdr:col>
      <xdr:colOff>248771</xdr:colOff>
      <xdr:row>373</xdr:row>
      <xdr:rowOff>22413</xdr:rowOff>
    </xdr:from>
    <xdr:to>
      <xdr:col>8</xdr:col>
      <xdr:colOff>381000</xdr:colOff>
      <xdr:row>374</xdr:row>
      <xdr:rowOff>121024</xdr:rowOff>
    </xdr:to>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1459006" y="51435001"/>
          <a:ext cx="1947582"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259976</xdr:colOff>
      <xdr:row>371</xdr:row>
      <xdr:rowOff>42583</xdr:rowOff>
    </xdr:from>
    <xdr:to>
      <xdr:col>8</xdr:col>
      <xdr:colOff>369794</xdr:colOff>
      <xdr:row>371</xdr:row>
      <xdr:rowOff>89647</xdr:rowOff>
    </xdr:to>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1470211" y="51074171"/>
          <a:ext cx="1925171"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76201</xdr:colOff>
      <xdr:row>373</xdr:row>
      <xdr:rowOff>2241</xdr:rowOff>
    </xdr:from>
    <xdr:to>
      <xdr:col>5</xdr:col>
      <xdr:colOff>248771</xdr:colOff>
      <xdr:row>376</xdr:row>
      <xdr:rowOff>49307</xdr:rowOff>
    </xdr:to>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76201" y="5141482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clientData/>
  </xdr:twoCellAnchor>
  <xdr:twoCellAnchor>
    <xdr:from>
      <xdr:col>3</xdr:col>
      <xdr:colOff>87406</xdr:colOff>
      <xdr:row>369</xdr:row>
      <xdr:rowOff>114300</xdr:rowOff>
    </xdr:from>
    <xdr:to>
      <xdr:col>5</xdr:col>
      <xdr:colOff>259976</xdr:colOff>
      <xdr:row>372</xdr:row>
      <xdr:rowOff>161366</xdr:rowOff>
    </xdr:to>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87406" y="50764888"/>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clientData/>
  </xdr:twoCellAnchor>
  <xdr:twoCellAnchor>
    <xdr:from>
      <xdr:col>3</xdr:col>
      <xdr:colOff>87406</xdr:colOff>
      <xdr:row>366</xdr:row>
      <xdr:rowOff>2242</xdr:rowOff>
    </xdr:from>
    <xdr:to>
      <xdr:col>5</xdr:col>
      <xdr:colOff>259976</xdr:colOff>
      <xdr:row>369</xdr:row>
      <xdr:rowOff>49308</xdr:rowOff>
    </xdr:to>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87406" y="5008133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lientData/>
  </xdr:twoCellAnchor>
  <xdr:twoCellAnchor>
    <xdr:from>
      <xdr:col>5</xdr:col>
      <xdr:colOff>259976</xdr:colOff>
      <xdr:row>367</xdr:row>
      <xdr:rowOff>121025</xdr:rowOff>
    </xdr:from>
    <xdr:to>
      <xdr:col>8</xdr:col>
      <xdr:colOff>369794</xdr:colOff>
      <xdr:row>369</xdr:row>
      <xdr:rowOff>0</xdr:rowOff>
    </xdr:to>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1470211" y="50390613"/>
          <a:ext cx="1925171"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5</xdr:col>
      <xdr:colOff>581025</xdr:colOff>
      <xdr:row>390</xdr:row>
      <xdr:rowOff>9525</xdr:rowOff>
    </xdr:from>
    <xdr:to>
      <xdr:col>15</xdr:col>
      <xdr:colOff>513021</xdr:colOff>
      <xdr:row>414</xdr:row>
      <xdr:rowOff>21152</xdr:rowOff>
    </xdr:to>
    <xdr:pic>
      <xdr:nvPicPr>
        <xdr:cNvPr id="345" name="Picture 344">
          <a:extLst>
            <a:ext uri="{FF2B5EF4-FFF2-40B4-BE49-F238E27FC236}">
              <a16:creationId xmlns:a16="http://schemas.microsoft.com/office/drawing/2014/main" id="{E43712B6-D21A-4DEF-9984-2CDB2BE79C39}"/>
            </a:ext>
          </a:extLst>
        </xdr:cNvPr>
        <xdr:cNvPicPr>
          <a:picLocks/>
        </xdr:cNvPicPr>
      </xdr:nvPicPr>
      <xdr:blipFill>
        <a:blip xmlns:r="http://schemas.openxmlformats.org/officeDocument/2006/relationships" r:embed="rId10"/>
        <a:stretch>
          <a:fillRect/>
        </a:stretch>
      </xdr:blipFill>
      <xdr:spPr>
        <a:xfrm>
          <a:off x="3648075" y="67494150"/>
          <a:ext cx="6037521" cy="4362647"/>
        </a:xfrm>
        <a:prstGeom prst="rect">
          <a:avLst/>
        </a:prstGeom>
      </xdr:spPr>
    </xdr:pic>
    <xdr:clientData/>
  </xdr:twoCellAnchor>
  <xdr:twoCellAnchor editAs="oneCell">
    <xdr:from>
      <xdr:col>6</xdr:col>
      <xdr:colOff>0</xdr:colOff>
      <xdr:row>417</xdr:row>
      <xdr:rowOff>0</xdr:rowOff>
    </xdr:from>
    <xdr:to>
      <xdr:col>15</xdr:col>
      <xdr:colOff>551122</xdr:colOff>
      <xdr:row>441</xdr:row>
      <xdr:rowOff>19247</xdr:rowOff>
    </xdr:to>
    <xdr:pic>
      <xdr:nvPicPr>
        <xdr:cNvPr id="346" name="Picture 345">
          <a:extLst>
            <a:ext uri="{FF2B5EF4-FFF2-40B4-BE49-F238E27FC236}">
              <a16:creationId xmlns:a16="http://schemas.microsoft.com/office/drawing/2014/main" id="{24E91BC7-9DAE-4755-911A-B1CEA6BFDC04}"/>
            </a:ext>
          </a:extLst>
        </xdr:cNvPr>
        <xdr:cNvPicPr>
          <a:picLocks/>
        </xdr:cNvPicPr>
      </xdr:nvPicPr>
      <xdr:blipFill>
        <a:blip xmlns:r="http://schemas.openxmlformats.org/officeDocument/2006/relationships" r:embed="rId11"/>
        <a:stretch>
          <a:fillRect/>
        </a:stretch>
      </xdr:blipFill>
      <xdr:spPr>
        <a:xfrm>
          <a:off x="1815353" y="53889088"/>
          <a:ext cx="6004800" cy="4564800"/>
        </a:xfrm>
        <a:prstGeom prst="rect">
          <a:avLst/>
        </a:prstGeom>
      </xdr:spPr>
    </xdr:pic>
    <xdr:clientData/>
  </xdr:twoCellAnchor>
  <xdr:twoCellAnchor>
    <xdr:from>
      <xdr:col>7</xdr:col>
      <xdr:colOff>488016</xdr:colOff>
      <xdr:row>389</xdr:row>
      <xdr:rowOff>72950</xdr:rowOff>
    </xdr:from>
    <xdr:to>
      <xdr:col>8</xdr:col>
      <xdr:colOff>581025</xdr:colOff>
      <xdr:row>398</xdr:row>
      <xdr:rowOff>177613</xdr:rowOff>
    </xdr:to>
    <xdr:cxnSp macro="">
      <xdr:nvCxnSpPr>
        <xdr:cNvPr id="347" name="Straight Arrow Connector 346">
          <a:extLst>
            <a:ext uri="{FF2B5EF4-FFF2-40B4-BE49-F238E27FC236}">
              <a16:creationId xmlns:a16="http://schemas.microsoft.com/office/drawing/2014/main" id="{395C907E-13E5-4775-AB2C-78DC3AFCF3B0}"/>
            </a:ext>
          </a:extLst>
        </xdr:cNvPr>
        <xdr:cNvCxnSpPr/>
      </xdr:nvCxnSpPr>
      <xdr:spPr>
        <a:xfrm>
          <a:off x="4774266" y="67376600"/>
          <a:ext cx="702609" cy="17334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441064</xdr:colOff>
      <xdr:row>385</xdr:row>
      <xdr:rowOff>87406</xdr:rowOff>
    </xdr:from>
    <xdr:to>
      <xdr:col>8</xdr:col>
      <xdr:colOff>606686</xdr:colOff>
      <xdr:row>389</xdr:row>
      <xdr:rowOff>69364</xdr:rowOff>
    </xdr:to>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4117714" y="66667156"/>
          <a:ext cx="1384822" cy="7058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budget review</a:t>
          </a:r>
        </a:p>
      </xdr:txBody>
    </xdr:sp>
    <xdr:clientData/>
  </xdr:twoCellAnchor>
  <xdr:twoCellAnchor>
    <xdr:from>
      <xdr:col>3</xdr:col>
      <xdr:colOff>340661</xdr:colOff>
      <xdr:row>428</xdr:row>
      <xdr:rowOff>31376</xdr:rowOff>
    </xdr:from>
    <xdr:to>
      <xdr:col>5</xdr:col>
      <xdr:colOff>513231</xdr:colOff>
      <xdr:row>431</xdr:row>
      <xdr:rowOff>78442</xdr:rowOff>
    </xdr:to>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340661" y="5602717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PO is finalised</a:t>
          </a:r>
        </a:p>
      </xdr:txBody>
    </xdr:sp>
    <xdr:clientData/>
  </xdr:twoCellAnchor>
  <xdr:twoCellAnchor>
    <xdr:from>
      <xdr:col>3</xdr:col>
      <xdr:colOff>369795</xdr:colOff>
      <xdr:row>423</xdr:row>
      <xdr:rowOff>26892</xdr:rowOff>
    </xdr:from>
    <xdr:to>
      <xdr:col>5</xdr:col>
      <xdr:colOff>542365</xdr:colOff>
      <xdr:row>426</xdr:row>
      <xdr:rowOff>179293</xdr:rowOff>
    </xdr:to>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369795" y="55058980"/>
          <a:ext cx="1382805"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lientData/>
  </xdr:twoCellAnchor>
  <xdr:twoCellAnchor>
    <xdr:from>
      <xdr:col>5</xdr:col>
      <xdr:colOff>542365</xdr:colOff>
      <xdr:row>425</xdr:row>
      <xdr:rowOff>7843</xdr:rowOff>
    </xdr:from>
    <xdr:to>
      <xdr:col>8</xdr:col>
      <xdr:colOff>381000</xdr:colOff>
      <xdr:row>425</xdr:row>
      <xdr:rowOff>168088</xdr:rowOff>
    </xdr:to>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1752600" y="55432137"/>
          <a:ext cx="1653988"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513231</xdr:colOff>
      <xdr:row>428</xdr:row>
      <xdr:rowOff>11205</xdr:rowOff>
    </xdr:from>
    <xdr:to>
      <xdr:col>8</xdr:col>
      <xdr:colOff>358589</xdr:colOff>
      <xdr:row>429</xdr:row>
      <xdr:rowOff>150159</xdr:rowOff>
    </xdr:to>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1723466" y="56006999"/>
          <a:ext cx="1660711"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11206</xdr:colOff>
      <xdr:row>444</xdr:row>
      <xdr:rowOff>11206</xdr:rowOff>
    </xdr:from>
    <xdr:to>
      <xdr:col>15</xdr:col>
      <xdr:colOff>569948</xdr:colOff>
      <xdr:row>466</xdr:row>
      <xdr:rowOff>97750</xdr:rowOff>
    </xdr:to>
    <xdr:pic>
      <xdr:nvPicPr>
        <xdr:cNvPr id="370" name="Picture 369">
          <a:extLst>
            <a:ext uri="{FF2B5EF4-FFF2-40B4-BE49-F238E27FC236}">
              <a16:creationId xmlns:a16="http://schemas.microsoft.com/office/drawing/2014/main" id="{B0BE0D2B-98F5-45FB-A88F-D6FF9FD744CC}"/>
            </a:ext>
          </a:extLst>
        </xdr:cNvPr>
        <xdr:cNvPicPr>
          <a:picLocks noChangeAspect="1"/>
        </xdr:cNvPicPr>
      </xdr:nvPicPr>
      <xdr:blipFill>
        <a:blip xmlns:r="http://schemas.openxmlformats.org/officeDocument/2006/relationships" r:embed="rId12"/>
        <a:stretch>
          <a:fillRect/>
        </a:stretch>
      </xdr:blipFill>
      <xdr:spPr>
        <a:xfrm>
          <a:off x="1826559" y="59066206"/>
          <a:ext cx="6004800" cy="4269923"/>
        </a:xfrm>
        <a:prstGeom prst="rect">
          <a:avLst/>
        </a:prstGeom>
      </xdr:spPr>
    </xdr:pic>
    <xdr:clientData/>
  </xdr:twoCellAnchor>
  <xdr:twoCellAnchor>
    <xdr:from>
      <xdr:col>3</xdr:col>
      <xdr:colOff>318248</xdr:colOff>
      <xdr:row>448</xdr:row>
      <xdr:rowOff>143434</xdr:rowOff>
    </xdr:from>
    <xdr:to>
      <xdr:col>5</xdr:col>
      <xdr:colOff>490818</xdr:colOff>
      <xdr:row>452</xdr:row>
      <xdr:rowOff>0</xdr:rowOff>
    </xdr:to>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318248" y="5996043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is reviewed</a:t>
          </a:r>
        </a:p>
      </xdr:txBody>
    </xdr:sp>
    <xdr:clientData/>
  </xdr:twoCellAnchor>
  <xdr:twoCellAnchor>
    <xdr:from>
      <xdr:col>5</xdr:col>
      <xdr:colOff>490818</xdr:colOff>
      <xdr:row>450</xdr:row>
      <xdr:rowOff>71717</xdr:rowOff>
    </xdr:from>
    <xdr:to>
      <xdr:col>9</xdr:col>
      <xdr:colOff>526676</xdr:colOff>
      <xdr:row>451</xdr:row>
      <xdr:rowOff>179294</xdr:rowOff>
    </xdr:to>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1701053" y="60269717"/>
          <a:ext cx="2456329"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351865</xdr:colOff>
      <xdr:row>453</xdr:row>
      <xdr:rowOff>179294</xdr:rowOff>
    </xdr:from>
    <xdr:to>
      <xdr:col>9</xdr:col>
      <xdr:colOff>526676</xdr:colOff>
      <xdr:row>454</xdr:row>
      <xdr:rowOff>13447</xdr:rowOff>
    </xdr:to>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1562100" y="60948794"/>
          <a:ext cx="2595282"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179295</xdr:colOff>
      <xdr:row>452</xdr:row>
      <xdr:rowOff>26893</xdr:rowOff>
    </xdr:from>
    <xdr:to>
      <xdr:col>5</xdr:col>
      <xdr:colOff>351865</xdr:colOff>
      <xdr:row>456</xdr:row>
      <xdr:rowOff>1</xdr:rowOff>
    </xdr:to>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179295" y="60605893"/>
          <a:ext cx="1382805"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a:t>
          </a:r>
        </a:p>
      </xdr:txBody>
    </xdr:sp>
    <xdr:clientData/>
  </xdr:twoCellAnchor>
  <xdr:twoCellAnchor>
    <xdr:from>
      <xdr:col>3</xdr:col>
      <xdr:colOff>197224</xdr:colOff>
      <xdr:row>456</xdr:row>
      <xdr:rowOff>156879</xdr:rowOff>
    </xdr:from>
    <xdr:to>
      <xdr:col>5</xdr:col>
      <xdr:colOff>369794</xdr:colOff>
      <xdr:row>460</xdr:row>
      <xdr:rowOff>13445</xdr:rowOff>
    </xdr:to>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197224" y="614978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lientData/>
  </xdr:twoCellAnchor>
  <xdr:twoCellAnchor>
    <xdr:from>
      <xdr:col>5</xdr:col>
      <xdr:colOff>369794</xdr:colOff>
      <xdr:row>456</xdr:row>
      <xdr:rowOff>123265</xdr:rowOff>
    </xdr:from>
    <xdr:to>
      <xdr:col>9</xdr:col>
      <xdr:colOff>537882</xdr:colOff>
      <xdr:row>458</xdr:row>
      <xdr:rowOff>85162</xdr:rowOff>
    </xdr:to>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1580029" y="61464265"/>
          <a:ext cx="2588559"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470</xdr:row>
      <xdr:rowOff>0</xdr:rowOff>
    </xdr:from>
    <xdr:to>
      <xdr:col>15</xdr:col>
      <xdr:colOff>551122</xdr:colOff>
      <xdr:row>494</xdr:row>
      <xdr:rowOff>19246</xdr:rowOff>
    </xdr:to>
    <xdr:pic>
      <xdr:nvPicPr>
        <xdr:cNvPr id="401" name="Picture 400">
          <a:extLst>
            <a:ext uri="{FF2B5EF4-FFF2-40B4-BE49-F238E27FC236}">
              <a16:creationId xmlns:a16="http://schemas.microsoft.com/office/drawing/2014/main" id="{E8D0D5C4-B54C-48E2-8EE7-DD9A7356BFA7}"/>
            </a:ext>
          </a:extLst>
        </xdr:cNvPr>
        <xdr:cNvPicPr>
          <a:picLocks/>
        </xdr:cNvPicPr>
      </xdr:nvPicPr>
      <xdr:blipFill>
        <a:blip xmlns:r="http://schemas.openxmlformats.org/officeDocument/2006/relationships" r:embed="rId13"/>
        <a:stretch>
          <a:fillRect/>
        </a:stretch>
      </xdr:blipFill>
      <xdr:spPr>
        <a:xfrm>
          <a:off x="1815353" y="64008000"/>
          <a:ext cx="6004800" cy="4564800"/>
        </a:xfrm>
        <a:prstGeom prst="rect">
          <a:avLst/>
        </a:prstGeom>
      </xdr:spPr>
    </xdr:pic>
    <xdr:clientData/>
  </xdr:twoCellAnchor>
  <xdr:twoCellAnchor>
    <xdr:from>
      <xdr:col>12</xdr:col>
      <xdr:colOff>145676</xdr:colOff>
      <xdr:row>486</xdr:row>
      <xdr:rowOff>145677</xdr:rowOff>
    </xdr:from>
    <xdr:to>
      <xdr:col>16</xdr:col>
      <xdr:colOff>450478</xdr:colOff>
      <xdr:row>486</xdr:row>
      <xdr:rowOff>147915</xdr:rowOff>
    </xdr:to>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5591735" y="67201677"/>
          <a:ext cx="2725272"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450478</xdr:colOff>
      <xdr:row>485</xdr:row>
      <xdr:rowOff>29132</xdr:rowOff>
    </xdr:from>
    <xdr:to>
      <xdr:col>19</xdr:col>
      <xdr:colOff>17930</xdr:colOff>
      <xdr:row>488</xdr:row>
      <xdr:rowOff>76198</xdr:rowOff>
    </xdr:to>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8317007" y="668946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clientData/>
  </xdr:twoCellAnchor>
  <xdr:twoCellAnchor>
    <xdr:from>
      <xdr:col>16</xdr:col>
      <xdr:colOff>445996</xdr:colOff>
      <xdr:row>481</xdr:row>
      <xdr:rowOff>69474</xdr:rowOff>
    </xdr:from>
    <xdr:to>
      <xdr:col>19</xdr:col>
      <xdr:colOff>13448</xdr:colOff>
      <xdr:row>484</xdr:row>
      <xdr:rowOff>116540</xdr:rowOff>
    </xdr:to>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8312525" y="6617297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to company</a:t>
          </a:r>
        </a:p>
      </xdr:txBody>
    </xdr:sp>
    <xdr:clientData/>
  </xdr:twoCellAnchor>
  <xdr:twoCellAnchor>
    <xdr:from>
      <xdr:col>12</xdr:col>
      <xdr:colOff>134470</xdr:colOff>
      <xdr:row>482</xdr:row>
      <xdr:rowOff>188257</xdr:rowOff>
    </xdr:from>
    <xdr:to>
      <xdr:col>16</xdr:col>
      <xdr:colOff>445996</xdr:colOff>
      <xdr:row>485</xdr:row>
      <xdr:rowOff>22412</xdr:rowOff>
    </xdr:to>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5580529" y="66482257"/>
          <a:ext cx="2731996"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463926</xdr:colOff>
      <xdr:row>477</xdr:row>
      <xdr:rowOff>76197</xdr:rowOff>
    </xdr:from>
    <xdr:to>
      <xdr:col>19</xdr:col>
      <xdr:colOff>31378</xdr:colOff>
      <xdr:row>480</xdr:row>
      <xdr:rowOff>123263</xdr:rowOff>
    </xdr:to>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8330455" y="6541769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a:t>
          </a:r>
        </a:p>
      </xdr:txBody>
    </xdr:sp>
    <xdr:clientData/>
  </xdr:twoCellAnchor>
  <xdr:twoCellAnchor>
    <xdr:from>
      <xdr:col>5</xdr:col>
      <xdr:colOff>407896</xdr:colOff>
      <xdr:row>482</xdr:row>
      <xdr:rowOff>67235</xdr:rowOff>
    </xdr:from>
    <xdr:to>
      <xdr:col>9</xdr:col>
      <xdr:colOff>470647</xdr:colOff>
      <xdr:row>484</xdr:row>
      <xdr:rowOff>123262</xdr:rowOff>
    </xdr:to>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1618131" y="66361235"/>
          <a:ext cx="2483222"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235326</xdr:colOff>
      <xdr:row>483</xdr:row>
      <xdr:rowOff>4479</xdr:rowOff>
    </xdr:from>
    <xdr:to>
      <xdr:col>5</xdr:col>
      <xdr:colOff>407896</xdr:colOff>
      <xdr:row>486</xdr:row>
      <xdr:rowOff>51545</xdr:rowOff>
    </xdr:to>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35326" y="664889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a:t>
          </a:r>
        </a:p>
      </xdr:txBody>
    </xdr:sp>
    <xdr:clientData/>
  </xdr:twoCellAnchor>
  <xdr:twoCellAnchor>
    <xdr:from>
      <xdr:col>12</xdr:col>
      <xdr:colOff>179294</xdr:colOff>
      <xdr:row>479</xdr:row>
      <xdr:rowOff>156880</xdr:rowOff>
    </xdr:from>
    <xdr:to>
      <xdr:col>17</xdr:col>
      <xdr:colOff>11208</xdr:colOff>
      <xdr:row>483</xdr:row>
      <xdr:rowOff>112059</xdr:rowOff>
    </xdr:to>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5625353" y="65879380"/>
          <a:ext cx="2857502"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230844</xdr:colOff>
      <xdr:row>479</xdr:row>
      <xdr:rowOff>112056</xdr:rowOff>
    </xdr:from>
    <xdr:to>
      <xdr:col>5</xdr:col>
      <xdr:colOff>403414</xdr:colOff>
      <xdr:row>482</xdr:row>
      <xdr:rowOff>159122</xdr:rowOff>
    </xdr:to>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30844" y="65834556"/>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a:t>
          </a:r>
        </a:p>
      </xdr:txBody>
    </xdr:sp>
    <xdr:clientData/>
  </xdr:twoCellAnchor>
  <xdr:twoCellAnchor>
    <xdr:from>
      <xdr:col>5</xdr:col>
      <xdr:colOff>403414</xdr:colOff>
      <xdr:row>480</xdr:row>
      <xdr:rowOff>134471</xdr:rowOff>
    </xdr:from>
    <xdr:to>
      <xdr:col>9</xdr:col>
      <xdr:colOff>470647</xdr:colOff>
      <xdr:row>481</xdr:row>
      <xdr:rowOff>40339</xdr:rowOff>
    </xdr:to>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1613649" y="66047471"/>
          <a:ext cx="2487704"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259981</xdr:colOff>
      <xdr:row>476</xdr:row>
      <xdr:rowOff>6721</xdr:rowOff>
    </xdr:from>
    <xdr:to>
      <xdr:col>5</xdr:col>
      <xdr:colOff>432551</xdr:colOff>
      <xdr:row>479</xdr:row>
      <xdr:rowOff>53787</xdr:rowOff>
    </xdr:to>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59981" y="65157721"/>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a:t>
          </a:r>
        </a:p>
      </xdr:txBody>
    </xdr:sp>
    <xdr:clientData/>
  </xdr:twoCellAnchor>
  <xdr:twoCellAnchor>
    <xdr:from>
      <xdr:col>5</xdr:col>
      <xdr:colOff>432551</xdr:colOff>
      <xdr:row>477</xdr:row>
      <xdr:rowOff>125504</xdr:rowOff>
    </xdr:from>
    <xdr:to>
      <xdr:col>9</xdr:col>
      <xdr:colOff>493059</xdr:colOff>
      <xdr:row>478</xdr:row>
      <xdr:rowOff>100853</xdr:rowOff>
    </xdr:to>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1642786" y="65467004"/>
          <a:ext cx="2480979" cy="1658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401174</xdr:colOff>
      <xdr:row>468</xdr:row>
      <xdr:rowOff>136708</xdr:rowOff>
    </xdr:from>
    <xdr:to>
      <xdr:col>11</xdr:col>
      <xdr:colOff>573744</xdr:colOff>
      <xdr:row>472</xdr:row>
      <xdr:rowOff>145676</xdr:rowOff>
    </xdr:to>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4031880" y="63763708"/>
          <a:ext cx="1382805" cy="7709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submitted to research, governance and contract</a:t>
          </a:r>
        </a:p>
      </xdr:txBody>
    </xdr:sp>
    <xdr:clientData/>
  </xdr:twoCellAnchor>
  <xdr:twoCellAnchor>
    <xdr:from>
      <xdr:col>10</xdr:col>
      <xdr:colOff>481853</xdr:colOff>
      <xdr:row>472</xdr:row>
      <xdr:rowOff>145676</xdr:rowOff>
    </xdr:from>
    <xdr:to>
      <xdr:col>10</xdr:col>
      <xdr:colOff>487459</xdr:colOff>
      <xdr:row>477</xdr:row>
      <xdr:rowOff>22412</xdr:rowOff>
    </xdr:to>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4717677" y="64534676"/>
          <a:ext cx="5606" cy="82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497</xdr:row>
      <xdr:rowOff>0</xdr:rowOff>
    </xdr:from>
    <xdr:to>
      <xdr:col>15</xdr:col>
      <xdr:colOff>551122</xdr:colOff>
      <xdr:row>521</xdr:row>
      <xdr:rowOff>19245</xdr:rowOff>
    </xdr:to>
    <xdr:pic>
      <xdr:nvPicPr>
        <xdr:cNvPr id="441" name="Picture 440">
          <a:extLst>
            <a:ext uri="{FF2B5EF4-FFF2-40B4-BE49-F238E27FC236}">
              <a16:creationId xmlns:a16="http://schemas.microsoft.com/office/drawing/2014/main" id="{33403C58-7402-45CA-AF07-602EEFAC7129}"/>
            </a:ext>
          </a:extLst>
        </xdr:cNvPr>
        <xdr:cNvPicPr>
          <a:picLocks/>
        </xdr:cNvPicPr>
      </xdr:nvPicPr>
      <xdr:blipFill>
        <a:blip xmlns:r="http://schemas.openxmlformats.org/officeDocument/2006/relationships" r:embed="rId14"/>
        <a:stretch>
          <a:fillRect/>
        </a:stretch>
      </xdr:blipFill>
      <xdr:spPr>
        <a:xfrm>
          <a:off x="1815353" y="69173912"/>
          <a:ext cx="6004800" cy="4564800"/>
        </a:xfrm>
        <a:prstGeom prst="rect">
          <a:avLst/>
        </a:prstGeom>
      </xdr:spPr>
    </xdr:pic>
    <xdr:clientData/>
  </xdr:twoCellAnchor>
  <xdr:twoCellAnchor>
    <xdr:from>
      <xdr:col>5</xdr:col>
      <xdr:colOff>396691</xdr:colOff>
      <xdr:row>509</xdr:row>
      <xdr:rowOff>33619</xdr:rowOff>
    </xdr:from>
    <xdr:to>
      <xdr:col>9</xdr:col>
      <xdr:colOff>470647</xdr:colOff>
      <xdr:row>511</xdr:row>
      <xdr:rowOff>170327</xdr:rowOff>
    </xdr:to>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1606926" y="71493531"/>
          <a:ext cx="2494427"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224121</xdr:colOff>
      <xdr:row>509</xdr:row>
      <xdr:rowOff>172566</xdr:rowOff>
    </xdr:from>
    <xdr:to>
      <xdr:col>5</xdr:col>
      <xdr:colOff>396691</xdr:colOff>
      <xdr:row>513</xdr:row>
      <xdr:rowOff>168087</xdr:rowOff>
    </xdr:to>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24121" y="71632478"/>
          <a:ext cx="1382805"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clientData/>
  </xdr:twoCellAnchor>
  <xdr:twoCellAnchor editAs="oneCell">
    <xdr:from>
      <xdr:col>6</xdr:col>
      <xdr:colOff>0</xdr:colOff>
      <xdr:row>524</xdr:row>
      <xdr:rowOff>0</xdr:rowOff>
    </xdr:from>
    <xdr:to>
      <xdr:col>15</xdr:col>
      <xdr:colOff>551122</xdr:colOff>
      <xdr:row>547</xdr:row>
      <xdr:rowOff>154500</xdr:rowOff>
    </xdr:to>
    <xdr:pic>
      <xdr:nvPicPr>
        <xdr:cNvPr id="450" name="Picture 449">
          <a:extLst>
            <a:ext uri="{FF2B5EF4-FFF2-40B4-BE49-F238E27FC236}">
              <a16:creationId xmlns:a16="http://schemas.microsoft.com/office/drawing/2014/main" id="{FFA49B26-145D-4CE5-ADFA-361E06BFA44F}"/>
            </a:ext>
          </a:extLst>
        </xdr:cNvPr>
        <xdr:cNvPicPr>
          <a:picLocks/>
        </xdr:cNvPicPr>
      </xdr:nvPicPr>
      <xdr:blipFill>
        <a:blip xmlns:r="http://schemas.openxmlformats.org/officeDocument/2006/relationships" r:embed="rId15"/>
        <a:stretch>
          <a:fillRect/>
        </a:stretch>
      </xdr:blipFill>
      <xdr:spPr>
        <a:xfrm>
          <a:off x="1815353" y="74328618"/>
          <a:ext cx="6004800" cy="4536000"/>
        </a:xfrm>
        <a:prstGeom prst="rect">
          <a:avLst/>
        </a:prstGeom>
      </xdr:spPr>
    </xdr:pic>
    <xdr:clientData/>
  </xdr:twoCellAnchor>
  <xdr:twoCellAnchor>
    <xdr:from>
      <xdr:col>16</xdr:col>
      <xdr:colOff>242052</xdr:colOff>
      <xdr:row>532</xdr:row>
      <xdr:rowOff>100849</xdr:rowOff>
    </xdr:from>
    <xdr:to>
      <xdr:col>18</xdr:col>
      <xdr:colOff>224117</xdr:colOff>
      <xdr:row>535</xdr:row>
      <xdr:rowOff>112058</xdr:rowOff>
    </xdr:to>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8108581" y="75953467"/>
          <a:ext cx="119230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lientData/>
  </xdr:twoCellAnchor>
  <xdr:twoCellAnchor>
    <xdr:from>
      <xdr:col>12</xdr:col>
      <xdr:colOff>168089</xdr:colOff>
      <xdr:row>534</xdr:row>
      <xdr:rowOff>11204</xdr:rowOff>
    </xdr:from>
    <xdr:to>
      <xdr:col>16</xdr:col>
      <xdr:colOff>242052</xdr:colOff>
      <xdr:row>535</xdr:row>
      <xdr:rowOff>100853</xdr:rowOff>
    </xdr:to>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5614148" y="76244822"/>
          <a:ext cx="2494433"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4</xdr:col>
      <xdr:colOff>523875</xdr:colOff>
      <xdr:row>36</xdr:row>
      <xdr:rowOff>85725</xdr:rowOff>
    </xdr:from>
    <xdr:to>
      <xdr:col>8</xdr:col>
      <xdr:colOff>18808</xdr:colOff>
      <xdr:row>38</xdr:row>
      <xdr:rowOff>85677</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6"/>
        <a:stretch>
          <a:fillRect/>
        </a:stretch>
      </xdr:blipFill>
      <xdr:spPr>
        <a:xfrm>
          <a:off x="2962275" y="5400675"/>
          <a:ext cx="1933333" cy="3809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20</xdr:row>
      <xdr:rowOff>0</xdr:rowOff>
    </xdr:from>
    <xdr:to>
      <xdr:col>1</xdr:col>
      <xdr:colOff>1379220</xdr:colOff>
      <xdr:row>20</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25" totalsRowShown="0" headerRowDxfId="196" dataDxfId="35">
  <autoFilter ref="A11:AI25" xr:uid="{F456AC9D-7704-49A5-9205-9A7479E6BB27}"/>
  <sortState xmlns:xlrd2="http://schemas.microsoft.com/office/spreadsheetml/2017/richdata2" ref="A12:AH12">
    <sortCondition sortBy="cellColor" ref="H11:H12" dxfId="195"/>
  </sortState>
  <tableColumns count="35">
    <tableColumn id="1" xr3:uid="{029E10D2-95CB-4A6C-A47D-5641AC7A0055}" name="Study Status" dataDxfId="34"/>
    <tableColumn id="2" xr3:uid="{C49E588C-C4DE-45DE-88D5-8AC662409270}" name="Date Created" dataDxfId="33"/>
    <tableColumn id="4" xr3:uid="{831920DE-86BC-4898-81E1-AFFE932379B9}" name="Study Name" dataDxfId="32"/>
    <tableColumn id="3" xr3:uid="{C89F95A8-564E-4403-ADDA-D618383A4E30}" name="Date Last Updated" dataDxfId="31"/>
    <tableColumn id="5" xr3:uid="{DBB29CFB-ACDE-4E61-9041-3A6725ECBB27}" name="Protocol Number" dataDxfId="30"/>
    <tableColumn id="6" xr3:uid="{797AA5C8-8301-4F2C-B556-C53458E6016A}" name="Sponsor" dataDxfId="29"/>
    <tableColumn id="7" xr3:uid="{748046CD-22D1-4C98-8DE3-13B23900F208}" name="CRO" dataDxfId="28"/>
    <tableColumn id="8" xr3:uid="{38F62305-511B-4EAD-9BDD-0022F8DC6DAA}" name="Age Range / Reminder" dataDxfId="27"/>
    <tableColumn id="9" xr3:uid="{698728C0-A3C6-4D45-80A4-E160B8579B34}" name="CDA" dataDxfId="26"/>
    <tableColumn id="10" xr3:uid="{D7B7B8B1-BF7A-4A91-ADD1-2CB3C730B1C0}" name="Feasibility" dataDxfId="25"/>
    <tableColumn id="11" xr3:uid="{D85A0B2B-DDF0-4AC3-A45A-14BE5D41416C}" name="Site Selection" dataDxfId="24"/>
    <tableColumn id="12" xr3:uid="{A585822F-A959-43D7-A424-A352E75F0954}" name="Recruitment Plan" dataDxfId="23"/>
    <tableColumn id="13" xr3:uid="{A50841ED-F2DD-44DB-930B-FD81AB2D7F3A}" name="Overall Ethics Approval" dataDxfId="22"/>
    <tableColumn id="14" xr3:uid="{3672012C-48E1-419C-B55B-23BB64AE6630}" name="CAHS Ethics Approval" dataDxfId="21"/>
    <tableColumn id="15" xr3:uid="{70445A27-BE6C-46C3-840C-A0065A95B092}" name="NMA Ethics Approval" dataDxfId="20"/>
    <tableColumn id="16" xr3:uid="{7D837278-B6BA-4B88-9FC0-A216926910A6}" name="WNHS Ethics Approval" dataDxfId="19"/>
    <tableColumn id="17" xr3:uid="{BCF683F3-0404-4D41-B20B-A0B5568F1A71}" name="SJOG Ethics Approval" dataDxfId="18"/>
    <tableColumn id="18" xr3:uid="{D761C224-84DB-4A19-A5DE-A0FED02242EA}" name="Others Ethics Approval" dataDxfId="17"/>
    <tableColumn id="19" xr3:uid="{20837BA9-29D0-4811-9FB7-2D6B5D622895}" name="Overall Governance Approval" dataDxfId="16"/>
    <tableColumn id="20" xr3:uid="{EF20339A-2979-4A87-90D2-747954CEAB85}" name="PCH Governance Approval" dataDxfId="15"/>
    <tableColumn id="21" xr3:uid="{70B43F0F-6BCD-481B-AE6F-3FB8E581C9FC}" name="TKI Governance Approval" dataDxfId="14"/>
    <tableColumn id="22" xr3:uid="{3599AB99-9AB4-4B40-9179-C6A5293BDC33}" name="KEMH Governance Approval" dataDxfId="13"/>
    <tableColumn id="23" xr3:uid="{A6D56650-2AE0-4EFB-AFE1-C6E750A07789}" name="SJOG Subiaco Gov. Approval" dataDxfId="12"/>
    <tableColumn id="24" xr3:uid="{5D7B2183-EA74-4B58-97D5-37B39713E12B}" name="SJOG Mt Lawley Gov. Approval" dataDxfId="11"/>
    <tableColumn id="25" xr3:uid="{72FD141E-3D6C-4F9F-BB49-6E5C1486E59D}" name="SJOG Murdoch Gov. Approval" dataDxfId="10"/>
    <tableColumn id="26" xr3:uid="{87E41995-0250-481D-9B0B-127CB14DF101}" name="Others Governance Approval" dataDxfId="9"/>
    <tableColumn id="28" xr3:uid="{802E393F-5F08-438F-A004-2797CBDC916C}" name="Indemnity" dataDxfId="8"/>
    <tableColumn id="29" xr3:uid="{48942A0D-04A4-4AA4-B0FA-0BCC4794A86F}" name="Overall Budget Approval" dataDxfId="7"/>
    <tableColumn id="30" xr3:uid="{2BF2686A-593C-48E2-A4EC-5A543E823C91}" name="VTG Budget Approval" dataDxfId="6"/>
    <tableColumn id="31" xr3:uid="{E8F3A721-A4AD-4D0A-9090-CF01FFA27211}" name="TKI Budget Approval" dataDxfId="5"/>
    <tableColumn id="27" xr3:uid="{05AF522F-6AC7-4443-89A1-48B670B86CEF}" name="Pharmacy Quotation" dataDxfId="4"/>
    <tableColumn id="32" xr3:uid="{5AC8E1DB-6C96-4851-9276-8131F5D9D6B1}" name="CTRA" dataDxfId="3"/>
    <tableColumn id="33" xr3:uid="{F3FAABC5-44EB-456B-96CF-1558F99C073F}" name="Financial Disclosure" dataDxfId="2"/>
    <tableColumn id="34" xr3:uid="{71268665-458F-45C4-B8D1-01BF5A88F4CE}" name="SIV" dataDxfId="1"/>
    <tableColumn id="35" xr3:uid="{EC2F8BA2-8544-4032-B95D-E7B0809FEFFD}" name="Register Index" dataDxfId="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20" totalsRowShown="0" headerRowDxfId="194" dataDxfId="193">
  <tableColumns count="157">
    <tableColumn id="2" xr3:uid="{E7B8E3E7-876D-4E6F-8DB6-EF6D63439B27}" name="Date Entry Created" dataDxfId="192"/>
    <tableColumn id="3" xr3:uid="{3B5F919B-773E-47C5-BF9F-89E119924443}" name="User who Created Entry" dataDxfId="191"/>
    <tableColumn id="4" xr3:uid="{52C1C417-C52A-493E-89C7-EC47FA6A00DC}" name="Date Entry Deleted" dataDxfId="190"/>
    <tableColumn id="5" xr3:uid="{39C233C4-ADDB-4C9D-B737-5A0D8E1492BE}" name="User who Deleted Entry" dataDxfId="189"/>
    <tableColumn id="6" xr3:uid="{53729740-3F8D-4BAC-8FEC-59BDF6B2F443}" name="Date Entry Last Accessed" dataDxfId="188"/>
    <tableColumn id="7" xr3:uid="{DA0D4432-1F96-408E-9E20-0A93307325A9}" name="User who Last Accessed Entry" dataDxfId="187"/>
    <tableColumn id="8" xr3:uid="{6F0FF61C-C081-4935-8428-D4A47A4BBCB1}" name="Study Status" dataDxfId="186"/>
    <tableColumn id="9" xr3:uid="{C168B0E8-6B0E-4738-889B-03EE11931C45}" name="Protocol No." dataDxfId="185"/>
    <tableColumn id="10" xr3:uid="{62BEA025-DC58-429A-B106-10071F770F88}" name="Study Name" dataDxfId="184"/>
    <tableColumn id="11" xr3:uid="{A7B3BCB5-4CA7-47DC-90C2-9737F39C4784}" name="Study Sponsor" dataDxfId="183"/>
    <tableColumn id="12" xr3:uid="{1A28A6FA-BECD-4E0C-97EC-097A90AB4595}" name="Study CRO" dataDxfId="182"/>
    <tableColumn id="13" xr3:uid="{BDE3F8E5-FC27-4DAB-B793-A5713B6A05CB}" name="Age Range" dataDxfId="181"/>
    <tableColumn id="114" xr3:uid="{C3A7D0BB-FBFB-4222-A5F2-E44B2DBBE12D}" name="Study Details - Reminder Comments" dataDxfId="180"/>
    <tableColumn id="14" xr3:uid="{C5F3DA46-F052-48BE-94E3-59FE83081C77}" name="Study Details - Date Entry Last Updated" dataDxfId="179"/>
    <tableColumn id="15" xr3:uid="{903EEA94-3205-4F60-B1EA-1A80730E5B85}" name="Study Details - User who Last Updated Entry" dataDxfId="178"/>
    <tableColumn id="16" xr3:uid="{F5215BDF-02E1-45F9-88DD-0714639FAD8A}" name="Date CDA Received from Sponsor" dataDxfId="177"/>
    <tableColumn id="17" xr3:uid="{A8829C95-7D06-40EF-A721-FE939DC97EB9}" name="Date CDA sent to Contracts" dataDxfId="176"/>
    <tableColumn id="18" xr3:uid="{D859B066-7B5B-43EA-AD34-13EDE3C8CA7D}" name="Date CDA received from Contracts" dataDxfId="175"/>
    <tableColumn id="115" xr3:uid="{DADD424C-6CA0-4B5C-8566-00FE2C6B71F4}" name="Date CDA Sent to Sponsor" dataDxfId="174"/>
    <tableColumn id="19" xr3:uid="{139AA284-7F13-43A5-935F-106F82F10E17}" name="Date CDA Finalised" dataDxfId="173"/>
    <tableColumn id="122" xr3:uid="{B1B5C73C-4C57-4744-B9FB-FC81708CCC79}" name="CDA - Reminder Comments" dataDxfId="172"/>
    <tableColumn id="123" xr3:uid="{02E5F42B-2B00-4720-8545-D242CBC48F48}" name="CDA - Date Entry Last Updated" dataDxfId="171"/>
    <tableColumn id="124" xr3:uid="{4E7B4A14-1BA5-413A-89F2-1142F6EA0975}" name="CDA - User who Last Updated Entry" dataDxfId="170"/>
    <tableColumn id="20" xr3:uid="{00B938A1-5FA0-4259-AB48-59245BD5B96B}" name="Date Feasibility Received" dataDxfId="169"/>
    <tableColumn id="21" xr3:uid="{377F9082-7AC6-481E-8D5E-847514CBFAE2}" name="Date Feasibility Completed" dataDxfId="168"/>
    <tableColumn id="22" xr3:uid="{47126869-0590-4768-961B-E71134854875}" name="Completed By" dataDxfId="167"/>
    <tableColumn id="23" xr3:uid="{C1B1A656-AD56-419F-A6BA-82410BA6FB72}" name="Feasibility - Reminder Comments" dataDxfId="166"/>
    <tableColumn id="24" xr3:uid="{3298FCE0-DF1B-4163-AF5E-5856EF6A5797}" name="Feasibility - Date Entry Last Updated" dataDxfId="165"/>
    <tableColumn id="25" xr3:uid="{2A63CCD3-6A71-4165-B717-934BB9CEA00F}" name="Feasibility - User who Last Updated Entry" dataDxfId="164"/>
    <tableColumn id="26" xr3:uid="{AE8576F6-6F3A-4F8C-82F8-AED30A298B2C}" name="Pre-study Visit Date" dataDxfId="163"/>
    <tableColumn id="27" xr3:uid="{2513F984-57FD-4F89-AEF5-B11AB763DCA5}" name="Pre-study Visit Type" dataDxfId="162"/>
    <tableColumn id="28" xr3:uid="{F5EECCEE-20EC-402D-9A57-09CEA2247FF1}" name="Validation Visit Date" dataDxfId="161"/>
    <tableColumn id="29" xr3:uid="{6EF2D96C-7E36-48AE-9EE7-ED8EC82EDFF4}" name="Validation Visit Type" dataDxfId="160"/>
    <tableColumn id="30" xr3:uid="{51E11A76-451B-46A4-85A8-09E968D8AF8A}" name="Site Selection Date" dataDxfId="159"/>
    <tableColumn id="31" xr3:uid="{0F2B93F0-E2A3-444D-BC1E-1BC3A281076D}" name="Site Select - Reminder Comments" dataDxfId="158"/>
    <tableColumn id="32" xr3:uid="{A933B59E-36EB-4313-8833-770EAACAC06D}" name="Site Select - Date Entry Last Updated" dataDxfId="157"/>
    <tableColumn id="33" xr3:uid="{D562D6DF-BA87-48CC-8834-4FFA44DE6888}" name="Site Select - User who Last Updated Entry" dataDxfId="156"/>
    <tableColumn id="34" xr3:uid="{C024650E-D2B9-4914-AA95-97023111AD29}" name="Date of Planning Meeting" dataDxfId="155"/>
    <tableColumn id="36" xr3:uid="{74B76F35-6293-4966-8F03-9D16F8EE9633}" name="Recruitment - Reminder Comments" dataDxfId="154"/>
    <tableColumn id="37" xr3:uid="{459708C4-D1D4-40EF-A8A8-F079E3916192}" name="Recruitment - Date Entry Last Updated" dataDxfId="153"/>
    <tableColumn id="38" xr3:uid="{442EA66B-AAF5-4117-A5E1-21F93B6A6967}" name="Recruitment - User who Last Updated Entry" dataDxfId="152"/>
    <tableColumn id="39" xr3:uid="{9964B3C8-3D02-46EB-BDED-26C767EB4AC3}" name="CAHS  Ethics Review - Date Submitted" dataDxfId="151"/>
    <tableColumn id="40" xr3:uid="{26247281-2CB3-4883-AE24-B79420FC7AEE}" name="CAHS Ethics Review - Date Responded" dataDxfId="150"/>
    <tableColumn id="41" xr3:uid="{1EDE9511-F7C5-4A34-8867-BA0BF688A7AC}" name="CAHS Ethics Review - Date Resubmitted" dataDxfId="149"/>
    <tableColumn id="42" xr3:uid="{44AA9C42-401C-49EC-B29A-4A0D4296D637}" name="CAHS Ethics Review - Date Approved" dataDxfId="148"/>
    <tableColumn id="144" xr3:uid="{9BDA9C3D-23A1-4808-90C2-ADFCE1862D66}" name="CAHS Ethics Review - Reminder Comments" dataDxfId="147"/>
    <tableColumn id="43" xr3:uid="{798082B2-B03E-4B46-9A56-738B3B0F5E5A}" name="NMA Ethics Review - Ethics Committee Name" dataDxfId="146"/>
    <tableColumn id="44" xr3:uid="{2CB54EA0-B100-443E-B617-B4D691F38DCC}" name="NMA Ethics Review - Date Submitted" dataDxfId="145"/>
    <tableColumn id="45" xr3:uid="{F76C4994-5BC1-48EA-981A-39BD032C029E}" name="NMA Ethics Review - Date Approved" dataDxfId="144"/>
    <tableColumn id="145" xr3:uid="{33E02E59-C393-47A1-9C1D-95E2AD40AEDC}" name="NMA Ethics Review - Reminder Comments" dataDxfId="143"/>
    <tableColumn id="46" xr3:uid="{76E7AC61-E480-4261-A0AB-7E565019132E}" name="WNHS Ethics Review - Date Submitted" dataDxfId="142"/>
    <tableColumn id="47" xr3:uid="{86AF5B51-5617-486F-9B3A-57E302C39871}" name="WNHS Ethics Review - Date Approved" dataDxfId="141"/>
    <tableColumn id="146" xr3:uid="{BECCF7AC-666C-4193-BF7C-2FD2ECAA5FD3}" name="WNHS Ethics Review - Reminder Comments" dataDxfId="140"/>
    <tableColumn id="48" xr3:uid="{90FD63C9-46AA-40BA-9205-9E3460E0F3FE}" name="SJOG Ethics Review - Date Submitted" dataDxfId="139"/>
    <tableColumn id="49" xr3:uid="{31EE4506-BE3C-4091-B749-CD3ED9859A01}" name="SJOG Ethics Review - Date Approved" dataDxfId="138"/>
    <tableColumn id="147" xr3:uid="{5BFA60D1-902D-4F5A-8FF1-2CAC221A0E17}" name="SJOG Ethics Review - Reminder Comments" dataDxfId="137"/>
    <tableColumn id="50" xr3:uid="{BB79F0B0-58FA-41B6-A978-5F76858B4DA7}" name="Other Ethics Review - Ethics Committee Name" dataDxfId="136"/>
    <tableColumn id="51" xr3:uid="{F75D2536-4793-4BDC-BB7B-DA378B34C6B3}" name="Other Ethics Review - Date Submitted" dataDxfId="135"/>
    <tableColumn id="52" xr3:uid="{F769CB72-B86F-46DC-A286-CDCEBD740457}" name="Other Ethics Review - Date Approved" dataDxfId="134"/>
    <tableColumn id="148" xr3:uid="{288E50EF-D6AD-42DA-B55D-009E3FF77AEE}" name="Others Ethics Review - Reminder Comments" dataDxfId="133"/>
    <tableColumn id="54" xr3:uid="{C8C3DA21-4F24-49BB-912A-7D22EA189220}" name="Ethics - Date Entry Last Updated" dataDxfId="132"/>
    <tableColumn id="55" xr3:uid="{62C7921E-2056-435B-AB9B-E89ABF257981}" name="Ethics - User who Last Updated Entry" dataDxfId="131"/>
    <tableColumn id="56" xr3:uid="{0615EC98-9B6E-4944-A6FF-E88640C3193F}" name="PCH Gov. Review - Date Submitted" dataDxfId="130"/>
    <tableColumn id="57" xr3:uid="{D24239AB-E437-4E7F-A042-34905B1BC3B2}" name="PCH Gov. Review - Date Responded" dataDxfId="129"/>
    <tableColumn id="58" xr3:uid="{025D2BED-5811-407D-83F1-4D2039079103}" name="PCH Gov. Review - Date Approved" dataDxfId="128"/>
    <tableColumn id="149" xr3:uid="{FF16417D-5089-4AD5-B3F7-16462AA2F3E3}" name="PCH Gov. Review - Reminder Comments" dataDxfId="127"/>
    <tableColumn id="59" xr3:uid="{0A796D18-5B75-4C80-A92D-12A864CB9880}" name="TKI Gov. Review - Date Submitted" dataDxfId="126"/>
    <tableColumn id="60" xr3:uid="{4972A11A-0ED2-419B-8656-18ABCA58416C}" name="TKI Gov. Review - Date Responded" dataDxfId="125"/>
    <tableColumn id="61" xr3:uid="{88A687E1-8C73-413E-9601-62473B748106}" name="TKI Gov. Review - Date Approved" dataDxfId="124"/>
    <tableColumn id="150" xr3:uid="{9AD4C570-CC85-4B56-88C5-38A067CF6FE7}" name="TKI Gov. Review - Reminder Comments" dataDxfId="123"/>
    <tableColumn id="62" xr3:uid="{79F8CC08-2272-415D-BCF7-CF29FFB77D6B}" name="KEMH Gov. Review - Date Submitted" dataDxfId="122"/>
    <tableColumn id="63" xr3:uid="{3CB3BA88-D84A-48EA-B765-C3EEFF3AD46F}" name="KEMH Gov. Review - Date Responded" dataDxfId="121"/>
    <tableColumn id="64" xr3:uid="{4E3A6DA4-5C8C-4ED4-A9A0-ABFFE82391EB}" name="KEMH Gov. Review - Date Approved" dataDxfId="120"/>
    <tableColumn id="151" xr3:uid="{997B1773-B53E-434B-B0FD-D0B70B45AD75}" name="KEMH Gov. Review - Reminder Comments" dataDxfId="119"/>
    <tableColumn id="65" xr3:uid="{A443B807-D4EF-4494-BCF7-3B72E08694DC}" name="SJOG Subiaco Gov. Review - Date Submitted" dataDxfId="118"/>
    <tableColumn id="66" xr3:uid="{DD2922A4-7353-4C3E-9446-6B545F1B6A73}" name="SJOG Subiaco Gov. Review - Date Responded" dataDxfId="117"/>
    <tableColumn id="67" xr3:uid="{39EBD920-89C6-48C4-AA11-2202683C8421}" name="SJOG Subiaco Gov. Review - Date Approved" dataDxfId="116"/>
    <tableColumn id="152" xr3:uid="{9A235062-2CD0-4809-A067-C31DEEB8478C}" name="SJOG Subiaco Gov. Review - Reminder Comments" dataDxfId="115"/>
    <tableColumn id="68" xr3:uid="{630217EE-5B88-404C-A98D-66036539C9CF}" name="SJOG Mt Lawley Gov. Review - Date Submitted" dataDxfId="114"/>
    <tableColumn id="69" xr3:uid="{00123D1D-27B4-4B38-AE60-5BB9E8F89B05}" name="SJOG Mt Lawley Gov. Review - Date Responded" dataDxfId="113"/>
    <tableColumn id="70" xr3:uid="{BFB4ACA6-F32B-4157-A5AC-B4775E3641C4}" name="SJOG Mt Lawley Gov. Review - Date Approved" dataDxfId="112"/>
    <tableColumn id="153" xr3:uid="{A34B5CDD-7720-4799-9FC6-A3F07560FBAD}" name="SJOG Mt Lawley Gov. Review - Reminder Comments" dataDxfId="111"/>
    <tableColumn id="71" xr3:uid="{65824E65-5F62-40FF-B404-A77F41919759}" name="SJOG Murdoch Gov. Review - Date Submitted" dataDxfId="110"/>
    <tableColumn id="72" xr3:uid="{39B9CFDF-F020-40EE-9574-8F5E05CC59F5}" name="SJOG Murdoch Gov. Review - Date Responded" dataDxfId="109"/>
    <tableColumn id="73" xr3:uid="{79D673C6-9F43-4581-BADC-9143E00B486D}" name="SJOG Murdoch Gov. Review - Date Approved" dataDxfId="108"/>
    <tableColumn id="154" xr3:uid="{C64ECE7E-5D96-4D46-9EB3-0DA30C5B4782}" name="SJOG Murdoch Gov. Review - Reminder Comments" dataDxfId="107"/>
    <tableColumn id="74" xr3:uid="{6FCA8FAF-0DAB-4AD1-AAE4-304E922AFD9C}" name="Other Gov. Review - Governance Body" dataDxfId="106"/>
    <tableColumn id="75" xr3:uid="{6577E397-E046-4CE7-9285-A01130B0F798}" name="Other Gov. Review - Date Submitted" dataDxfId="105"/>
    <tableColumn id="76" xr3:uid="{58CB8C09-C7B6-4F45-BB52-CF8674AD811C}" name="Other Gov. Review - Date Responded" dataDxfId="104"/>
    <tableColumn id="77" xr3:uid="{D5C40437-C6D5-4D8D-B4CC-57B24B05A463}" name="Other Gov. Review - Date Approved" dataDxfId="103"/>
    <tableColumn id="155" xr3:uid="{AF2C1E44-101A-4660-AC4A-B6DA58F44F6A}" name="Others Gov. Review - Reminder Comments" dataDxfId="102"/>
    <tableColumn id="79" xr3:uid="{9A9461B3-2B66-4A3D-BF70-EB9B95DECD11}" name="Governance - Date Entry Last Updated" dataDxfId="101"/>
    <tableColumn id="80" xr3:uid="{626B8BE8-1541-4454-A8CE-47B0BD429392}" name="Governance - User who Last Updated Entry" dataDxfId="100"/>
    <tableColumn id="81" xr3:uid="{6B75C9B1-2352-42A5-82C3-B580E87FD170}" name="VTG Budget Review - Date Finalised" dataDxfId="99"/>
    <tableColumn id="82" xr3:uid="{75FFB480-BE64-4522-9C0F-57DD067606BB}" name="VTG Budget Review - Date Submitted to Finance" dataDxfId="98"/>
    <tableColumn id="83" xr3:uid="{68CA3BCD-DF78-40FA-8CF4-A445896AE8DA}" name="VTG Budget Review - Date Approved" dataDxfId="97"/>
    <tableColumn id="156" xr3:uid="{7EF262DA-5754-4863-A852-2F131616C45E}" name="VTG Budget Review - Reminder Comments" dataDxfId="96"/>
    <tableColumn id="84" xr3:uid="{8FFCDE2C-2733-42BB-A35B-D69164207B06}" name="TKI Budget Review - Date Approved" dataDxfId="95"/>
    <tableColumn id="157" xr3:uid="{0E648BCC-4A2D-4EC2-9879-3C367DB71226}" name="TKI Budget Review - Reminder Comments" dataDxfId="94"/>
    <tableColumn id="85" xr3:uid="{6AFD5E5C-93F2-4A4D-A7CB-AD5951CED9C8}" name="Pharmacy Budget Review - Date Quote Received" dataDxfId="93"/>
    <tableColumn id="86" xr3:uid="{A844F452-F561-4298-B42D-2C6B75451D2B}" name="Pharmacy Budget Review - Date PO Finalised" dataDxfId="92"/>
    <tableColumn id="158" xr3:uid="{D0607939-1828-48CB-B6AA-A112FFECFF24}" name="Pharmacy Budget Review - Reminder Comments" dataDxfId="91"/>
    <tableColumn id="88" xr3:uid="{9F78CF46-4D6F-4F2F-85F7-C44117D22BE2}" name="Budget - Date Entry Last Updated" dataDxfId="90"/>
    <tableColumn id="89" xr3:uid="{661FB2C1-04FC-4E59-8AC5-EA5880B60C62}" name="Budget - User who Last Updated Entry" dataDxfId="89"/>
    <tableColumn id="90" xr3:uid="{7D4600DF-25C0-477B-804F-C7731C44FAF0}" name="Indemnity Review - Date Received" dataDxfId="88"/>
    <tableColumn id="91" xr3:uid="{BBBBD697-C807-4E80-B22D-5AB877D128B9}" name="Indemnity Review - Date Sent to Contracts" dataDxfId="87"/>
    <tableColumn id="92" xr3:uid="{8D0E79C2-3325-4CF4-9795-4574111719D7}" name="Indemnity Review - Date Completed" dataDxfId="86"/>
    <tableColumn id="93" xr3:uid="{F78413AA-3BCC-4AFC-93E9-752DB0D6EE7F}" name="Indemnity - Reminder Comments" dataDxfId="85"/>
    <tableColumn id="94" xr3:uid="{FCF2F161-8C62-4199-A427-36C7423EC4D2}" name="Indemnity - Date Entry Last Updated" dataDxfId="84"/>
    <tableColumn id="95" xr3:uid="{B46611FA-EB79-4C3B-BFE5-40930639DD40}" name="Indemnity - User who Last Updated Entry" dataDxfId="83"/>
    <tableColumn id="96" xr3:uid="{8D1B4908-F483-49FE-91DB-1E1975636120}" name="CTRA - Date submitted to Research, Gov. &amp; Contracts" dataDxfId="82"/>
    <tableColumn id="97" xr3:uid="{562497F3-5849-45D8-AF12-2C1ED56732F1}" name="CTRA - Date of UWA Review" dataDxfId="81"/>
    <tableColumn id="98" xr3:uid="{BA1BB81E-4EF2-437A-9AD0-EC02033CC8F5}" name="CTRA - Date of Finance Review &amp; Approval" dataDxfId="80"/>
    <tableColumn id="99" xr3:uid="{2A96554F-29DD-42AB-A725-F4B6D4F90979}" name="CTRA - Date of COO / CFO sign-off" dataDxfId="79"/>
    <tableColumn id="100" xr3:uid="{22222C86-17E0-4549-BFE8-D7F10210EDC5}" name="CTRA - Date of VTG sign-off" dataDxfId="78"/>
    <tableColumn id="101" xr3:uid="{C797BCD9-1E56-4B88-ADAD-48FAAF88EF70}" name="CTRA - Date of submission to Company" dataDxfId="77"/>
    <tableColumn id="102" xr3:uid="{8A03AEAE-CEB4-42E9-8C7E-A7A974E85A39}" name="CTRA - Date Finalised" dataDxfId="76"/>
    <tableColumn id="103" xr3:uid="{585067F2-0DD8-4AC8-9958-7149C564015B}" name="CTRA - Reminder Comments" dataDxfId="75"/>
    <tableColumn id="104" xr3:uid="{91B30194-C36B-4490-B356-0BFF07DB46DB}" name="CTRA - Date Entry Last Updated" dataDxfId="74"/>
    <tableColumn id="105" xr3:uid="{7579B37E-01CB-44D3-8336-F43826DBAE1D}" name="CTRA - User who Last Updated Entry" dataDxfId="73"/>
    <tableColumn id="106" xr3:uid="{AB9F4B42-B713-4DF1-B852-3F96AB72776F}" name="Date Financial Disclosure Completed" dataDxfId="72"/>
    <tableColumn id="107" xr3:uid="{157206C9-8BC6-4229-A2E6-C6E94F204C07}" name="Fin. Disc. - Reminder Comments" dataDxfId="71"/>
    <tableColumn id="108" xr3:uid="{7531B9AB-7FE6-4349-AAD5-799FB1253501}" name="Fin. Disc. - Date Entry Last Updated" dataDxfId="70"/>
    <tableColumn id="109" xr3:uid="{7FA74446-EA0A-4529-8772-08A4EDF68C7F}" name="Fin. Disc. - User who Last Updated Entry" dataDxfId="69"/>
    <tableColumn id="110" xr3:uid="{DD9F3EB9-59A2-4EAF-A925-8F55ACD8417F}" name="Date of Site Initiation Visit" dataDxfId="68"/>
    <tableColumn id="111" xr3:uid="{6818FC6B-B8AD-4B1D-8844-94D5C2E53D03}" name="SIV - Reminder Comments" dataDxfId="67"/>
    <tableColumn id="112" xr3:uid="{DDD987A1-CA15-4B6D-817F-D4D84B94F758}" name="SIV - Date Entry Last Updated" dataDxfId="66"/>
    <tableColumn id="113" xr3:uid="{3E4DD0DD-9BDA-4CA8-8A38-D3205AB533E3}" name="SIV - User who Last Updated Entry" dataDxfId="65"/>
    <tableColumn id="116" xr3:uid="{7796515B-70C0-44B5-AC23-3B8D8118C024}" name="Study Details Complete" dataDxfId="64"/>
    <tableColumn id="117" xr3:uid="{9EEB8B23-A4CB-4351-BA34-28B875CA5BC9}" name="CDA Complete" dataDxfId="63"/>
    <tableColumn id="118" xr3:uid="{EEAF9685-FF58-4299-8AC9-70EAA41D7867}" name="FS Complete" dataDxfId="62"/>
    <tableColumn id="119" xr3:uid="{5A71745D-F91F-430E-85CB-6A3ADD0FB772}" name="Site Selection Complete" dataDxfId="61"/>
    <tableColumn id="120" xr3:uid="{51A43A1E-C977-4D5A-AB3B-B853BC3664B2}" name="Recruitment Complete" dataDxfId="60"/>
    <tableColumn id="125" xr3:uid="{5335C76C-7C49-4E93-8894-36BD0B1E9804}" name="Ethics - CAHS Complete" dataDxfId="59"/>
    <tableColumn id="126" xr3:uid="{6151F69C-D5F9-4128-A8E3-E444A31C4646}" name="Ethics - NMA Complete" dataDxfId="58"/>
    <tableColumn id="127" xr3:uid="{9815D2CB-7014-4939-A39D-D99E35ADF880}" name="Ethics - WNHS Complete" dataDxfId="57"/>
    <tableColumn id="128" xr3:uid="{C5816B87-1D9E-443D-B71D-EF2D56B064FF}" name="Ethics - SJOG Complete" dataDxfId="56"/>
    <tableColumn id="129" xr3:uid="{53DFFA91-EBD7-414F-B499-00141C01A736}" name="Ethics - Others Complete" dataDxfId="55"/>
    <tableColumn id="130" xr3:uid="{6DEF5359-846A-472E-944D-281B57926E62}" name="Gov - PCH Complete" dataDxfId="54"/>
    <tableColumn id="121" xr3:uid="{5BA4DB4D-271A-4BB3-94C9-A78D01150788}" name="Gov - TKI Complete" dataDxfId="53"/>
    <tableColumn id="131" xr3:uid="{C9A3CA08-C8A7-4291-92C9-705C74D485AD}" name="Gov - KEMH Complete" dataDxfId="52"/>
    <tableColumn id="132" xr3:uid="{873FD3D8-F030-49F1-A92C-6E32C445C899}" name="Gov - SJOG Subiaco Complete" dataDxfId="51"/>
    <tableColumn id="133" xr3:uid="{B8FF200A-00A6-4130-B768-491439CBFBE7}" name="Gov - SJOG Mt Lawley Complete" dataDxfId="50"/>
    <tableColumn id="134" xr3:uid="{13941F44-D716-4592-BC82-B255BE12E60C}" name="Gov - SJOG Murdoch Complete" dataDxfId="49"/>
    <tableColumn id="135" xr3:uid="{65C1857A-EC53-4A30-8B4D-8610A2522D10}" name="Gov - Others Complete" dataDxfId="48"/>
    <tableColumn id="136" xr3:uid="{E474FC60-EFC4-474D-9C31-CEF1A05FD126}" name="Budget - VTG Complete" dataDxfId="47"/>
    <tableColumn id="137" xr3:uid="{A1CA2D0C-A904-4071-916A-3EA32C06434B}" name="Budget - TKI Complete" dataDxfId="46"/>
    <tableColumn id="138" xr3:uid="{9906220F-039C-40DA-AA46-ECC109B914AD}" name="Budget - Pharmacy Complete" dataDxfId="45"/>
    <tableColumn id="139" xr3:uid="{A08FFA89-66DB-4DD3-BDF6-36DB93440443}" name="Indemnity Complete" dataDxfId="44"/>
    <tableColumn id="140" xr3:uid="{B66F3B52-4D1F-4A39-87B7-4E9740B05ACD}" name="CTRA Complete" dataDxfId="43"/>
    <tableColumn id="141" xr3:uid="{0F417A9F-84AB-492F-878B-EE38BA61D4C8}" name="Fin Disc Complete" dataDxfId="42"/>
    <tableColumn id="142" xr3:uid="{86AF2DD4-CDD5-49D8-99CF-C0B75D633343}" name="SIV Complete" dataDxfId="41"/>
    <tableColumn id="53" xr3:uid="{8B387D3A-A5E5-4E45-86F9-DE7899DB64F9}" name="Overall Ethics" dataDxfId="40">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9">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38">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37">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36">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ablebits.com/office-addins-blog/2020/03/11/enable-disable-macros-excel/"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dimension ref="C1:U550"/>
  <sheetViews>
    <sheetView showGridLines="0" topLeftCell="A13" zoomScaleNormal="100" workbookViewId="0">
      <selection activeCell="H19" sqref="H19"/>
    </sheetView>
  </sheetViews>
  <sheetFormatPr defaultRowHeight="15" x14ac:dyDescent="0.25"/>
  <cols>
    <col min="5" max="5" width="9.140625" customWidth="1"/>
  </cols>
  <sheetData>
    <row r="1" spans="3:21" ht="15.75" thickBot="1" x14ac:dyDescent="0.3"/>
    <row r="2" spans="3:21" x14ac:dyDescent="0.25">
      <c r="C2" s="43"/>
      <c r="D2" s="44"/>
      <c r="E2" s="44"/>
      <c r="F2" s="44"/>
      <c r="G2" s="44"/>
      <c r="H2" s="44"/>
      <c r="I2" s="44"/>
      <c r="J2" s="44"/>
      <c r="K2" s="44"/>
      <c r="L2" s="44"/>
      <c r="M2" s="44"/>
      <c r="N2" s="44"/>
      <c r="O2" s="44"/>
      <c r="P2" s="44"/>
      <c r="Q2" s="44"/>
      <c r="R2" s="44"/>
      <c r="S2" s="44"/>
      <c r="T2" s="44"/>
      <c r="U2" s="45"/>
    </row>
    <row r="3" spans="3:21" ht="18.75" x14ac:dyDescent="0.3">
      <c r="C3" s="57">
        <v>1</v>
      </c>
      <c r="D3" s="47" t="s">
        <v>269</v>
      </c>
      <c r="E3" s="23"/>
      <c r="F3" s="23"/>
      <c r="G3" s="23"/>
      <c r="H3" s="23"/>
      <c r="I3" s="23"/>
      <c r="J3" s="23"/>
      <c r="K3" s="23"/>
      <c r="L3" s="23"/>
      <c r="M3" s="23"/>
      <c r="N3" s="23"/>
      <c r="O3" s="23"/>
      <c r="P3" s="23"/>
      <c r="Q3" s="23"/>
      <c r="R3" s="23"/>
      <c r="S3" s="23"/>
      <c r="T3" s="23"/>
      <c r="U3" s="48"/>
    </row>
    <row r="4" spans="3:21" x14ac:dyDescent="0.25">
      <c r="C4" s="46"/>
      <c r="D4" s="23" t="s">
        <v>363</v>
      </c>
      <c r="E4" s="23"/>
      <c r="F4" s="23"/>
      <c r="G4" s="23"/>
      <c r="H4" s="23"/>
      <c r="I4" s="23"/>
      <c r="J4" s="23"/>
      <c r="K4" s="23"/>
      <c r="L4" s="23"/>
      <c r="M4" s="23"/>
      <c r="N4" s="23"/>
      <c r="O4" s="23"/>
      <c r="P4" s="23"/>
      <c r="Q4" s="23"/>
      <c r="R4" s="23"/>
      <c r="S4" s="23"/>
      <c r="T4" s="23"/>
      <c r="U4" s="48"/>
    </row>
    <row r="5" spans="3:21" x14ac:dyDescent="0.25">
      <c r="C5" s="46"/>
      <c r="D5" s="23" t="s">
        <v>367</v>
      </c>
      <c r="E5" s="23"/>
      <c r="F5" s="23"/>
      <c r="G5" s="23"/>
      <c r="H5" s="23"/>
      <c r="I5" s="23"/>
      <c r="J5" s="23"/>
      <c r="K5" s="23"/>
      <c r="L5" s="23"/>
      <c r="M5" s="23"/>
      <c r="N5" s="23"/>
      <c r="O5" s="23"/>
      <c r="P5" s="23"/>
      <c r="Q5" s="23"/>
      <c r="R5" s="23"/>
      <c r="S5" s="23"/>
      <c r="T5" s="23"/>
      <c r="U5" s="48"/>
    </row>
    <row r="6" spans="3:21" x14ac:dyDescent="0.25">
      <c r="C6" s="46"/>
      <c r="D6" s="55" t="s">
        <v>374</v>
      </c>
      <c r="E6" s="23"/>
      <c r="F6" s="23"/>
      <c r="G6" s="23"/>
      <c r="H6" s="23"/>
      <c r="I6" s="23"/>
      <c r="J6" s="23"/>
      <c r="K6" s="23"/>
      <c r="L6" s="23"/>
      <c r="M6" s="23"/>
      <c r="N6" s="23"/>
      <c r="O6" s="23"/>
      <c r="P6" s="23"/>
      <c r="Q6" s="23"/>
      <c r="R6" s="23"/>
      <c r="S6" s="23"/>
      <c r="T6" s="23"/>
      <c r="U6" s="48"/>
    </row>
    <row r="7" spans="3:21" x14ac:dyDescent="0.25">
      <c r="C7" s="46"/>
      <c r="D7" s="23"/>
      <c r="E7" s="23"/>
      <c r="F7" s="23"/>
      <c r="G7" s="23"/>
      <c r="H7" s="23"/>
      <c r="I7" s="23"/>
      <c r="J7" s="23"/>
      <c r="K7" s="23"/>
      <c r="L7" s="23"/>
      <c r="M7" s="23"/>
      <c r="N7" s="23"/>
      <c r="O7" s="23"/>
      <c r="P7" s="23"/>
      <c r="Q7" s="23"/>
      <c r="R7" s="23"/>
      <c r="S7" s="23"/>
      <c r="T7" s="23"/>
      <c r="U7" s="48"/>
    </row>
    <row r="8" spans="3:21" x14ac:dyDescent="0.25">
      <c r="C8" s="46"/>
      <c r="D8" s="23" t="s">
        <v>366</v>
      </c>
      <c r="E8" s="23"/>
      <c r="F8" s="23"/>
      <c r="G8" s="23"/>
      <c r="H8" s="23"/>
      <c r="I8" s="23"/>
      <c r="J8" s="23"/>
      <c r="K8" s="23"/>
      <c r="L8" s="23"/>
      <c r="M8" s="23"/>
      <c r="N8" s="23"/>
      <c r="O8" s="23"/>
      <c r="P8" s="23"/>
      <c r="Q8" s="23"/>
      <c r="R8" s="23"/>
      <c r="S8" s="23"/>
      <c r="T8" s="23"/>
      <c r="U8" s="48"/>
    </row>
    <row r="9" spans="3:21" x14ac:dyDescent="0.25">
      <c r="C9" s="46"/>
      <c r="D9" s="49" t="s">
        <v>270</v>
      </c>
      <c r="E9" s="23"/>
      <c r="F9" s="23"/>
      <c r="G9" s="23"/>
      <c r="H9" s="23"/>
      <c r="I9" s="23"/>
      <c r="J9" s="23"/>
      <c r="K9" s="23"/>
      <c r="L9" s="23"/>
      <c r="M9" s="23"/>
      <c r="N9" s="23"/>
      <c r="O9" s="23"/>
      <c r="P9" s="23"/>
      <c r="Q9" s="23"/>
      <c r="R9" s="23"/>
      <c r="S9" s="23"/>
      <c r="T9" s="23"/>
      <c r="U9" s="48"/>
    </row>
    <row r="10" spans="3:21" x14ac:dyDescent="0.25">
      <c r="C10" s="46"/>
      <c r="E10" s="23"/>
      <c r="F10" s="23"/>
      <c r="G10" s="23"/>
      <c r="H10" s="23"/>
      <c r="I10" s="23"/>
      <c r="J10" s="23"/>
      <c r="K10" s="23"/>
      <c r="L10" s="23"/>
      <c r="M10" s="23"/>
      <c r="N10" s="23"/>
      <c r="O10" s="23"/>
      <c r="P10" s="23"/>
      <c r="Q10" s="23"/>
      <c r="R10" s="23"/>
      <c r="S10" s="23"/>
      <c r="T10" s="23"/>
      <c r="U10" s="48"/>
    </row>
    <row r="11" spans="3:21" ht="15.75" thickBot="1" x14ac:dyDescent="0.3">
      <c r="C11" s="52"/>
      <c r="D11" s="53"/>
      <c r="E11" s="53"/>
      <c r="F11" s="53"/>
      <c r="G11" s="53"/>
      <c r="H11" s="53"/>
      <c r="I11" s="53"/>
      <c r="J11" s="53"/>
      <c r="K11" s="53"/>
      <c r="L11" s="53"/>
      <c r="M11" s="53"/>
      <c r="N11" s="53"/>
      <c r="O11" s="53"/>
      <c r="P11" s="53"/>
      <c r="Q11" s="53"/>
      <c r="R11" s="53"/>
      <c r="S11" s="53"/>
      <c r="T11" s="53"/>
      <c r="U11" s="54"/>
    </row>
    <row r="12" spans="3:21" x14ac:dyDescent="0.25">
      <c r="C12" s="43"/>
      <c r="D12" s="44"/>
      <c r="E12" s="44"/>
      <c r="F12" s="44"/>
      <c r="G12" s="44"/>
      <c r="H12" s="44"/>
      <c r="I12" s="44"/>
      <c r="J12" s="44"/>
      <c r="K12" s="44"/>
      <c r="L12" s="44"/>
      <c r="M12" s="44"/>
      <c r="N12" s="44"/>
      <c r="O12" s="44"/>
      <c r="P12" s="44"/>
      <c r="Q12" s="44"/>
      <c r="R12" s="44"/>
      <c r="S12" s="44"/>
      <c r="T12" s="44"/>
      <c r="U12" s="45"/>
    </row>
    <row r="13" spans="3:21" ht="18.75" x14ac:dyDescent="0.3">
      <c r="C13" s="57">
        <v>2</v>
      </c>
      <c r="D13" s="47" t="s">
        <v>271</v>
      </c>
      <c r="E13" s="23"/>
      <c r="F13" s="23"/>
      <c r="G13" s="23"/>
      <c r="H13" s="23"/>
      <c r="I13" s="23"/>
      <c r="J13" s="23"/>
      <c r="K13" s="23"/>
      <c r="L13" s="23"/>
      <c r="M13" s="23"/>
      <c r="N13" s="23"/>
      <c r="O13" s="23"/>
      <c r="P13" s="23"/>
      <c r="Q13" s="23"/>
      <c r="R13" s="23"/>
      <c r="S13" s="23"/>
      <c r="T13" s="23"/>
      <c r="U13" s="48"/>
    </row>
    <row r="14" spans="3:21" ht="64.5" customHeight="1" x14ac:dyDescent="0.3">
      <c r="C14" s="57"/>
      <c r="D14" s="73" t="s">
        <v>373</v>
      </c>
      <c r="E14" s="73"/>
      <c r="F14" s="73"/>
      <c r="G14" s="73"/>
      <c r="H14" s="73"/>
      <c r="I14" s="73"/>
      <c r="J14" s="73"/>
      <c r="K14" s="73"/>
      <c r="L14" s="73"/>
      <c r="M14" s="73"/>
      <c r="N14" s="73"/>
      <c r="O14" s="73"/>
      <c r="P14" s="73"/>
      <c r="Q14" s="73"/>
      <c r="R14" s="73"/>
      <c r="S14" s="73"/>
      <c r="T14" s="73"/>
      <c r="U14" s="48"/>
    </row>
    <row r="15" spans="3:21" ht="18.75" x14ac:dyDescent="0.3">
      <c r="C15" s="57"/>
      <c r="E15" s="74"/>
      <c r="F15" s="74"/>
      <c r="G15" s="74"/>
      <c r="H15" s="74"/>
      <c r="I15" s="74"/>
      <c r="J15" s="74"/>
      <c r="K15" s="74"/>
      <c r="L15" s="74"/>
      <c r="M15" s="74"/>
      <c r="N15" s="74"/>
      <c r="O15" s="74"/>
      <c r="P15" s="74"/>
      <c r="Q15" s="74"/>
      <c r="R15" s="74"/>
      <c r="S15" s="74"/>
      <c r="T15" s="74"/>
      <c r="U15" s="48"/>
    </row>
    <row r="16" spans="3:21" ht="18.75" x14ac:dyDescent="0.3">
      <c r="C16" s="57"/>
      <c r="D16" s="80" t="s">
        <v>371</v>
      </c>
      <c r="E16" s="74"/>
      <c r="F16" s="74"/>
      <c r="G16" s="74"/>
      <c r="H16" s="74"/>
      <c r="I16" s="74"/>
      <c r="J16" s="74"/>
      <c r="K16" s="74"/>
      <c r="L16" s="74"/>
      <c r="M16" s="74"/>
      <c r="N16" s="74"/>
      <c r="O16" s="74"/>
      <c r="P16" s="74"/>
      <c r="Q16" s="74"/>
      <c r="R16" s="74"/>
      <c r="S16" s="74"/>
      <c r="T16" s="74"/>
      <c r="U16" s="48"/>
    </row>
    <row r="17" spans="3:21" ht="18.75" customHeight="1" x14ac:dyDescent="0.3">
      <c r="C17" s="57"/>
      <c r="D17" s="73" t="s">
        <v>372</v>
      </c>
      <c r="E17" s="73"/>
      <c r="F17" s="73"/>
      <c r="G17" s="73"/>
      <c r="H17" s="73"/>
      <c r="I17" s="73"/>
      <c r="J17" s="73"/>
      <c r="K17" s="73"/>
      <c r="L17" s="73"/>
      <c r="M17" s="73"/>
      <c r="N17" s="73"/>
      <c r="O17" s="73"/>
      <c r="P17" s="73"/>
      <c r="Q17" s="73"/>
      <c r="R17" s="73"/>
      <c r="S17" s="73"/>
      <c r="T17" s="73"/>
      <c r="U17" s="48"/>
    </row>
    <row r="18" spans="3:21" ht="16.5" customHeight="1" x14ac:dyDescent="0.3">
      <c r="C18" s="57"/>
      <c r="D18" s="77"/>
      <c r="E18" s="77"/>
      <c r="F18" s="77"/>
      <c r="G18" s="77"/>
      <c r="H18" s="77"/>
      <c r="I18" s="77"/>
      <c r="J18" s="77"/>
      <c r="K18" s="77"/>
      <c r="L18" s="77"/>
      <c r="M18" s="77"/>
      <c r="N18" s="77"/>
      <c r="O18" s="77"/>
      <c r="P18" s="77"/>
      <c r="Q18" s="77"/>
      <c r="R18" s="77"/>
      <c r="S18" s="77"/>
      <c r="T18" s="77"/>
      <c r="U18" s="48"/>
    </row>
    <row r="19" spans="3:21" ht="18.75" x14ac:dyDescent="0.3">
      <c r="C19" s="57"/>
      <c r="D19" s="78" t="s">
        <v>368</v>
      </c>
      <c r="E19" s="75"/>
      <c r="F19" s="75"/>
      <c r="G19" s="75"/>
      <c r="H19" s="75"/>
      <c r="I19" s="75"/>
      <c r="J19" s="75"/>
      <c r="K19" s="75"/>
      <c r="L19" s="75"/>
      <c r="M19" s="75"/>
      <c r="N19" s="75"/>
      <c r="O19" s="75"/>
      <c r="P19" s="75"/>
      <c r="Q19" s="75"/>
      <c r="R19" s="75"/>
      <c r="S19" s="75"/>
      <c r="T19" s="75"/>
      <c r="U19" s="48"/>
    </row>
    <row r="20" spans="3:21" ht="47.25" customHeight="1" x14ac:dyDescent="0.3">
      <c r="C20" s="57"/>
      <c r="D20" s="73" t="s">
        <v>369</v>
      </c>
      <c r="E20" s="73"/>
      <c r="F20" s="73"/>
      <c r="G20" s="73"/>
      <c r="H20" s="73"/>
      <c r="I20" s="73"/>
      <c r="J20" s="73"/>
      <c r="K20" s="73"/>
      <c r="L20" s="73"/>
      <c r="M20" s="73"/>
      <c r="N20" s="73"/>
      <c r="O20" s="73"/>
      <c r="P20" s="73"/>
      <c r="Q20" s="73"/>
      <c r="R20" s="73"/>
      <c r="S20" s="73"/>
      <c r="T20" s="73"/>
      <c r="U20" s="48"/>
    </row>
    <row r="21" spans="3:21" ht="18.75" x14ac:dyDescent="0.3">
      <c r="C21" s="57"/>
      <c r="D21" s="77"/>
      <c r="E21" s="77"/>
      <c r="F21" s="77"/>
      <c r="G21" s="77"/>
      <c r="H21" s="77"/>
      <c r="I21" s="77"/>
      <c r="J21" s="77"/>
      <c r="K21" s="77"/>
      <c r="L21" s="77"/>
      <c r="M21" s="77"/>
      <c r="N21" s="77"/>
      <c r="O21" s="77"/>
      <c r="P21" s="77"/>
      <c r="Q21" s="77"/>
      <c r="R21" s="77"/>
      <c r="S21" s="77"/>
      <c r="T21" s="77"/>
      <c r="U21" s="48"/>
    </row>
    <row r="22" spans="3:21" ht="18.75" x14ac:dyDescent="0.3">
      <c r="C22" s="57"/>
      <c r="D22" s="79" t="s">
        <v>370</v>
      </c>
      <c r="E22" s="76"/>
      <c r="F22" s="76"/>
      <c r="G22" s="76"/>
      <c r="H22" s="76"/>
      <c r="I22" s="76"/>
      <c r="J22" s="76"/>
      <c r="K22" s="76"/>
      <c r="L22" s="76"/>
      <c r="M22" s="76"/>
      <c r="N22" s="76"/>
      <c r="O22" s="76"/>
      <c r="P22" s="76"/>
      <c r="Q22" s="76"/>
      <c r="R22" s="76"/>
      <c r="S22" s="76"/>
      <c r="T22" s="76"/>
      <c r="U22" s="48"/>
    </row>
    <row r="23" spans="3:21" ht="50.25" customHeight="1" x14ac:dyDescent="0.3">
      <c r="C23" s="57"/>
      <c r="D23" s="73" t="s">
        <v>375</v>
      </c>
      <c r="E23" s="73"/>
      <c r="F23" s="73"/>
      <c r="G23" s="73"/>
      <c r="H23" s="73"/>
      <c r="I23" s="73"/>
      <c r="J23" s="73"/>
      <c r="K23" s="73"/>
      <c r="L23" s="73"/>
      <c r="M23" s="73"/>
      <c r="N23" s="73"/>
      <c r="O23" s="73"/>
      <c r="P23" s="73"/>
      <c r="Q23" s="73"/>
      <c r="R23" s="73"/>
      <c r="S23" s="73"/>
      <c r="T23" s="73"/>
      <c r="U23" s="48"/>
    </row>
    <row r="24" spans="3:21" ht="18.75" x14ac:dyDescent="0.3">
      <c r="C24" s="57"/>
      <c r="D24" s="79"/>
      <c r="E24" s="76"/>
      <c r="F24" s="76"/>
      <c r="G24" s="76"/>
      <c r="H24" s="76"/>
      <c r="I24" s="76"/>
      <c r="J24" s="76"/>
      <c r="K24" s="76"/>
      <c r="L24" s="76"/>
      <c r="M24" s="76"/>
      <c r="N24" s="76"/>
      <c r="O24" s="76"/>
      <c r="P24" s="76"/>
      <c r="Q24" s="76"/>
      <c r="R24" s="76"/>
      <c r="S24" s="76"/>
      <c r="T24" s="76"/>
      <c r="U24" s="48"/>
    </row>
    <row r="25" spans="3:21" ht="18.75" x14ac:dyDescent="0.3">
      <c r="C25" s="57"/>
      <c r="D25" s="79" t="s">
        <v>376</v>
      </c>
      <c r="E25" s="76"/>
      <c r="F25" s="76"/>
      <c r="G25" s="76"/>
      <c r="H25" s="76"/>
      <c r="I25" s="76"/>
      <c r="J25" s="76"/>
      <c r="K25" s="76"/>
      <c r="L25" s="76"/>
      <c r="M25" s="76"/>
      <c r="N25" s="76"/>
      <c r="O25" s="76"/>
      <c r="P25" s="76"/>
      <c r="Q25" s="76"/>
      <c r="R25" s="76"/>
      <c r="S25" s="76"/>
      <c r="T25" s="76"/>
      <c r="U25" s="48"/>
    </row>
    <row r="26" spans="3:21" ht="47.25" customHeight="1" x14ac:dyDescent="0.3">
      <c r="C26" s="57"/>
      <c r="D26" s="73" t="s">
        <v>377</v>
      </c>
      <c r="E26" s="73"/>
      <c r="F26" s="73"/>
      <c r="G26" s="73"/>
      <c r="H26" s="73"/>
      <c r="I26" s="73"/>
      <c r="J26" s="73"/>
      <c r="K26" s="73"/>
      <c r="L26" s="73"/>
      <c r="M26" s="73"/>
      <c r="N26" s="73"/>
      <c r="O26" s="73"/>
      <c r="P26" s="73"/>
      <c r="Q26" s="73"/>
      <c r="R26" s="73"/>
      <c r="S26" s="73"/>
      <c r="T26" s="73"/>
      <c r="U26" s="48"/>
    </row>
    <row r="27" spans="3:21" ht="18.75" x14ac:dyDescent="0.3">
      <c r="C27" s="57"/>
      <c r="D27" s="79"/>
      <c r="E27" s="76"/>
      <c r="F27" s="76"/>
      <c r="G27" s="76"/>
      <c r="H27" s="76"/>
      <c r="I27" s="76"/>
      <c r="J27" s="76"/>
      <c r="K27" s="76"/>
      <c r="L27" s="76"/>
      <c r="M27" s="76"/>
      <c r="N27" s="76"/>
      <c r="O27" s="76"/>
      <c r="P27" s="76"/>
      <c r="Q27" s="76"/>
      <c r="R27" s="76"/>
      <c r="S27" s="76"/>
      <c r="T27" s="76"/>
      <c r="U27" s="48"/>
    </row>
    <row r="28" spans="3:21" ht="18.75" x14ac:dyDescent="0.3">
      <c r="C28" s="57"/>
      <c r="D28" s="79" t="s">
        <v>378</v>
      </c>
      <c r="E28" s="76"/>
      <c r="F28" s="76"/>
      <c r="G28" s="76"/>
      <c r="H28" s="76"/>
      <c r="I28" s="76"/>
      <c r="J28" s="76"/>
      <c r="K28" s="76"/>
      <c r="L28" s="76"/>
      <c r="M28" s="76"/>
      <c r="N28" s="76"/>
      <c r="O28" s="76"/>
      <c r="P28" s="76"/>
      <c r="Q28" s="76"/>
      <c r="R28" s="76"/>
      <c r="S28" s="76"/>
      <c r="T28" s="76"/>
      <c r="U28" s="48"/>
    </row>
    <row r="29" spans="3:21" ht="41.25" customHeight="1" x14ac:dyDescent="0.3">
      <c r="C29" s="57"/>
      <c r="D29" s="73" t="s">
        <v>379</v>
      </c>
      <c r="E29" s="73"/>
      <c r="F29" s="73"/>
      <c r="G29" s="73"/>
      <c r="H29" s="73"/>
      <c r="I29" s="73"/>
      <c r="J29" s="73"/>
      <c r="K29" s="73"/>
      <c r="L29" s="73"/>
      <c r="M29" s="73"/>
      <c r="N29" s="73"/>
      <c r="O29" s="73"/>
      <c r="P29" s="73"/>
      <c r="Q29" s="73"/>
      <c r="R29" s="73"/>
      <c r="S29" s="73"/>
      <c r="T29" s="73"/>
      <c r="U29" s="48"/>
    </row>
    <row r="30" spans="3:21" ht="15.75" thickBot="1" x14ac:dyDescent="0.3">
      <c r="C30" s="52"/>
      <c r="D30" s="53"/>
      <c r="E30" s="53"/>
      <c r="F30" s="53"/>
      <c r="G30" s="53"/>
      <c r="H30" s="53"/>
      <c r="I30" s="53"/>
      <c r="J30" s="53"/>
      <c r="K30" s="53"/>
      <c r="L30" s="53"/>
      <c r="M30" s="53"/>
      <c r="N30" s="53"/>
      <c r="O30" s="53"/>
      <c r="P30" s="53"/>
      <c r="Q30" s="53"/>
      <c r="R30" s="53"/>
      <c r="S30" s="53"/>
      <c r="T30" s="53"/>
      <c r="U30" s="54"/>
    </row>
    <row r="31" spans="3:21" x14ac:dyDescent="0.25">
      <c r="C31" s="46"/>
      <c r="D31" s="23"/>
      <c r="E31" s="23"/>
      <c r="F31" s="23"/>
      <c r="G31" s="23"/>
      <c r="H31" s="23"/>
      <c r="I31" s="23"/>
      <c r="J31" s="23"/>
      <c r="K31" s="23"/>
      <c r="L31" s="23"/>
      <c r="M31" s="23"/>
      <c r="N31" s="23"/>
      <c r="O31" s="23"/>
      <c r="P31" s="23"/>
      <c r="Q31" s="23"/>
      <c r="R31" s="23"/>
      <c r="S31" s="23"/>
      <c r="T31" s="23"/>
      <c r="U31" s="48"/>
    </row>
    <row r="32" spans="3:21" ht="18.75" x14ac:dyDescent="0.3">
      <c r="C32" s="57">
        <v>3</v>
      </c>
      <c r="D32" s="47" t="s">
        <v>274</v>
      </c>
      <c r="E32" s="23"/>
      <c r="F32" s="23"/>
      <c r="G32" s="23"/>
      <c r="H32" s="23"/>
      <c r="I32" s="23"/>
      <c r="J32" s="23"/>
      <c r="K32" s="23"/>
      <c r="L32" s="23"/>
      <c r="M32" s="23"/>
      <c r="N32" s="23"/>
      <c r="O32" s="23"/>
      <c r="P32" s="23"/>
      <c r="Q32" s="23"/>
      <c r="R32" s="23"/>
      <c r="S32" s="23"/>
      <c r="T32" s="23"/>
      <c r="U32" s="48"/>
    </row>
    <row r="33" spans="3:21" x14ac:dyDescent="0.25">
      <c r="C33" s="46"/>
      <c r="D33" s="23"/>
      <c r="E33" s="23"/>
      <c r="F33" s="23"/>
      <c r="G33" s="23"/>
      <c r="H33" s="23"/>
      <c r="I33" s="23"/>
      <c r="J33" s="23"/>
      <c r="K33" s="23"/>
      <c r="L33" s="23"/>
      <c r="M33" s="23"/>
      <c r="N33" s="23"/>
      <c r="O33" s="23"/>
      <c r="P33" s="23"/>
      <c r="Q33" s="23"/>
      <c r="R33" s="23"/>
      <c r="S33" s="23"/>
      <c r="T33" s="23"/>
      <c r="U33" s="48"/>
    </row>
    <row r="34" spans="3:21" x14ac:dyDescent="0.25">
      <c r="C34" s="46"/>
      <c r="D34" s="23"/>
      <c r="E34" s="23" t="s">
        <v>240</v>
      </c>
      <c r="F34" s="23"/>
      <c r="G34" s="23"/>
      <c r="H34" s="23"/>
      <c r="I34" s="23"/>
      <c r="J34" s="23"/>
      <c r="K34" s="23"/>
      <c r="L34" s="23"/>
      <c r="M34" s="23"/>
      <c r="N34" s="23"/>
      <c r="O34" s="23"/>
      <c r="P34" s="23"/>
      <c r="Q34" s="23"/>
      <c r="R34" s="23"/>
      <c r="S34" s="23"/>
      <c r="T34" s="23"/>
      <c r="U34" s="48"/>
    </row>
    <row r="35" spans="3:21" x14ac:dyDescent="0.25">
      <c r="C35" s="46"/>
      <c r="D35" s="23"/>
      <c r="E35" s="23"/>
      <c r="F35" s="23"/>
      <c r="G35" s="23"/>
      <c r="H35" s="23"/>
      <c r="I35" s="23"/>
      <c r="J35" s="23"/>
      <c r="K35" s="23"/>
      <c r="L35" s="23"/>
      <c r="M35" s="23"/>
      <c r="N35" s="23"/>
      <c r="O35" s="23"/>
      <c r="P35" s="23"/>
      <c r="Q35" s="23"/>
      <c r="R35" s="23"/>
      <c r="S35" s="23"/>
      <c r="T35" s="23"/>
      <c r="U35" s="48"/>
    </row>
    <row r="36" spans="3:21" x14ac:dyDescent="0.25">
      <c r="C36" s="46"/>
      <c r="D36" s="50">
        <v>1</v>
      </c>
      <c r="E36" s="23" t="s">
        <v>365</v>
      </c>
      <c r="F36" s="23"/>
      <c r="G36" s="23"/>
      <c r="H36" s="23"/>
      <c r="I36" s="23"/>
      <c r="J36" s="23"/>
      <c r="K36" s="23"/>
      <c r="L36" s="23"/>
      <c r="N36" s="23"/>
      <c r="O36" s="23"/>
      <c r="P36" s="23"/>
      <c r="Q36" s="23"/>
      <c r="R36" s="23"/>
      <c r="S36" s="23"/>
      <c r="T36" s="23"/>
      <c r="U36" s="48"/>
    </row>
    <row r="37" spans="3:21" x14ac:dyDescent="0.25">
      <c r="C37" s="46"/>
      <c r="D37" s="23"/>
      <c r="E37" s="23"/>
      <c r="F37" s="23"/>
      <c r="G37" s="23"/>
      <c r="H37" s="23"/>
      <c r="I37" s="23"/>
      <c r="J37" s="23"/>
      <c r="K37" s="23"/>
      <c r="L37" s="23"/>
      <c r="N37" s="23"/>
      <c r="O37" s="23"/>
      <c r="P37" s="23"/>
      <c r="Q37" s="23"/>
      <c r="R37" s="23"/>
      <c r="S37" s="23"/>
      <c r="T37" s="23"/>
      <c r="U37" s="48"/>
    </row>
    <row r="38" spans="3:21" x14ac:dyDescent="0.25">
      <c r="C38" s="46"/>
      <c r="D38" s="23"/>
      <c r="E38" s="23"/>
      <c r="F38" s="23"/>
      <c r="G38" s="23"/>
      <c r="H38" s="23"/>
      <c r="I38" s="23"/>
      <c r="J38" s="23"/>
      <c r="K38" s="23"/>
      <c r="L38" s="23"/>
      <c r="N38" s="23"/>
      <c r="O38" s="23"/>
      <c r="P38" s="23"/>
      <c r="Q38" s="23"/>
      <c r="R38" s="23"/>
      <c r="S38" s="23"/>
      <c r="T38" s="23"/>
      <c r="U38" s="48"/>
    </row>
    <row r="39" spans="3:21" x14ac:dyDescent="0.25">
      <c r="C39" s="46"/>
      <c r="D39" s="23"/>
      <c r="E39" s="23"/>
      <c r="F39" s="23"/>
      <c r="G39" s="23"/>
      <c r="H39" s="23"/>
      <c r="I39" s="23"/>
      <c r="J39" s="23"/>
      <c r="K39" s="23"/>
      <c r="L39" s="23"/>
      <c r="N39" s="23"/>
      <c r="O39" s="23"/>
      <c r="P39" s="23"/>
      <c r="Q39" s="23"/>
      <c r="R39" s="23"/>
      <c r="S39" s="23"/>
      <c r="T39" s="23"/>
      <c r="U39" s="48"/>
    </row>
    <row r="40" spans="3:21" x14ac:dyDescent="0.25">
      <c r="C40" s="46"/>
      <c r="D40" s="23"/>
      <c r="E40" s="50" t="s">
        <v>239</v>
      </c>
      <c r="F40" s="23"/>
      <c r="G40" s="23"/>
      <c r="H40" s="23"/>
      <c r="I40" s="23"/>
      <c r="J40" s="23"/>
      <c r="K40" s="23"/>
      <c r="L40" s="23"/>
      <c r="N40" s="23"/>
      <c r="O40" s="23"/>
      <c r="P40" s="23"/>
      <c r="Q40" s="23"/>
      <c r="R40" s="23"/>
      <c r="S40" s="23"/>
      <c r="T40" s="23"/>
      <c r="U40" s="48"/>
    </row>
    <row r="41" spans="3:21" x14ac:dyDescent="0.25">
      <c r="C41" s="46"/>
      <c r="D41" s="23"/>
      <c r="E41" s="50" t="s">
        <v>267</v>
      </c>
      <c r="F41" s="23"/>
      <c r="G41" s="23"/>
      <c r="H41" s="23"/>
      <c r="I41" s="23"/>
      <c r="J41" s="23"/>
      <c r="K41" s="23"/>
      <c r="L41" s="23"/>
      <c r="N41" s="23"/>
      <c r="O41" s="23"/>
      <c r="P41" s="23"/>
      <c r="Q41" s="23"/>
      <c r="R41" s="23"/>
      <c r="S41" s="23"/>
      <c r="T41" s="23"/>
      <c r="U41" s="48"/>
    </row>
    <row r="42" spans="3:21" x14ac:dyDescent="0.25">
      <c r="C42" s="46"/>
      <c r="D42" s="23"/>
      <c r="N42" s="23"/>
      <c r="O42" s="23"/>
      <c r="P42" s="23"/>
      <c r="Q42" s="23"/>
      <c r="R42" s="23"/>
      <c r="S42" s="23"/>
      <c r="T42" s="23"/>
      <c r="U42" s="48"/>
    </row>
    <row r="43" spans="3:21" x14ac:dyDescent="0.25">
      <c r="C43" s="46"/>
      <c r="D43" s="23"/>
      <c r="E43" s="56" t="s">
        <v>273</v>
      </c>
      <c r="F43" s="23"/>
      <c r="G43" s="23"/>
      <c r="H43" s="23"/>
      <c r="I43" s="23"/>
      <c r="J43" s="23"/>
      <c r="K43" s="23"/>
      <c r="L43" s="23"/>
      <c r="M43" s="23"/>
      <c r="N43" s="23"/>
      <c r="O43" s="23"/>
      <c r="P43" s="23"/>
      <c r="Q43" s="23"/>
      <c r="R43" s="23"/>
      <c r="S43" s="23"/>
      <c r="T43" s="23"/>
      <c r="U43" s="48"/>
    </row>
    <row r="44" spans="3:21" x14ac:dyDescent="0.25">
      <c r="C44" s="46"/>
      <c r="D44" s="23"/>
      <c r="E44" s="23" t="s">
        <v>272</v>
      </c>
      <c r="F44" s="23"/>
      <c r="G44" s="23"/>
      <c r="H44" s="23"/>
      <c r="I44" s="23"/>
      <c r="J44" s="23"/>
      <c r="K44" s="23"/>
      <c r="L44" s="23"/>
      <c r="M44" s="23"/>
      <c r="N44" s="23"/>
      <c r="O44" s="23"/>
      <c r="P44" s="23"/>
      <c r="Q44" s="23"/>
      <c r="R44" s="23"/>
      <c r="S44" s="23"/>
      <c r="T44" s="23"/>
      <c r="U44" s="48"/>
    </row>
    <row r="45" spans="3:21" x14ac:dyDescent="0.25">
      <c r="C45" s="46"/>
      <c r="D45" s="23"/>
      <c r="E45" s="23"/>
      <c r="F45" s="50"/>
      <c r="G45" s="23"/>
      <c r="H45" s="23"/>
      <c r="I45" s="23"/>
      <c r="J45" s="23"/>
      <c r="K45" s="23"/>
      <c r="L45" s="23"/>
      <c r="M45" s="23"/>
      <c r="N45" s="23"/>
      <c r="O45" s="23"/>
      <c r="P45" s="23"/>
      <c r="Q45" s="23"/>
      <c r="R45" s="23"/>
      <c r="S45" s="23"/>
      <c r="T45" s="23"/>
      <c r="U45" s="48"/>
    </row>
    <row r="46" spans="3:21" x14ac:dyDescent="0.25">
      <c r="C46" s="46"/>
      <c r="D46" s="23"/>
      <c r="E46" s="23">
        <v>2</v>
      </c>
      <c r="F46" s="23" t="s">
        <v>238</v>
      </c>
      <c r="G46" s="23"/>
      <c r="H46" s="23"/>
      <c r="I46" s="23"/>
      <c r="J46" s="23"/>
      <c r="K46" s="23"/>
      <c r="L46" s="23"/>
      <c r="M46" s="23"/>
      <c r="N46" s="23"/>
      <c r="O46" s="23"/>
      <c r="P46" s="23"/>
      <c r="Q46" s="23"/>
      <c r="R46" s="23"/>
      <c r="S46" s="23"/>
      <c r="T46" s="23"/>
      <c r="U46" s="48"/>
    </row>
    <row r="47" spans="3:21" x14ac:dyDescent="0.25">
      <c r="C47" s="46"/>
      <c r="D47" s="23"/>
      <c r="E47" s="23"/>
      <c r="F47" s="23"/>
      <c r="G47" s="23"/>
      <c r="H47" s="23"/>
      <c r="I47" s="23"/>
      <c r="J47" s="23"/>
      <c r="K47" s="23"/>
      <c r="L47" s="23"/>
      <c r="M47" s="23"/>
      <c r="N47" s="23"/>
      <c r="O47" s="23"/>
      <c r="P47" s="23"/>
      <c r="Q47" s="23"/>
      <c r="R47" s="23"/>
      <c r="S47" s="23"/>
      <c r="T47" s="23"/>
      <c r="U47" s="48"/>
    </row>
    <row r="48" spans="3:21" ht="18.75" x14ac:dyDescent="0.3">
      <c r="C48" s="46"/>
      <c r="D48" s="23"/>
      <c r="E48" s="23"/>
      <c r="F48" s="47" t="s">
        <v>268</v>
      </c>
      <c r="G48" s="23"/>
      <c r="H48" s="23"/>
      <c r="I48" s="23"/>
      <c r="J48" s="23"/>
      <c r="K48" s="23"/>
      <c r="L48" s="23"/>
      <c r="M48" s="23"/>
      <c r="N48" s="23"/>
      <c r="O48" s="23"/>
      <c r="P48" s="23"/>
      <c r="Q48" s="23"/>
      <c r="R48" s="23"/>
      <c r="S48" s="23"/>
      <c r="T48" s="23"/>
      <c r="U48" s="48"/>
    </row>
    <row r="49" spans="3:21" x14ac:dyDescent="0.25">
      <c r="C49" s="46"/>
      <c r="D49" s="23"/>
      <c r="E49" s="23"/>
      <c r="F49" s="23"/>
      <c r="G49" s="23"/>
      <c r="H49" s="23"/>
      <c r="I49" s="23"/>
      <c r="J49" s="23"/>
      <c r="K49" s="23"/>
      <c r="L49" s="23"/>
      <c r="M49" s="23"/>
      <c r="N49" s="23"/>
      <c r="O49" s="23"/>
      <c r="P49" s="23"/>
      <c r="Q49" s="23"/>
      <c r="R49" s="23"/>
      <c r="S49" s="23"/>
      <c r="T49" s="23"/>
      <c r="U49" s="48"/>
    </row>
    <row r="50" spans="3:21" x14ac:dyDescent="0.25">
      <c r="C50" s="46"/>
      <c r="D50" s="23"/>
      <c r="E50" s="23"/>
      <c r="F50" s="23"/>
      <c r="G50" s="23"/>
      <c r="H50" s="23"/>
      <c r="I50" s="23"/>
      <c r="J50" s="23"/>
      <c r="K50" s="23"/>
      <c r="L50" s="23"/>
      <c r="M50" s="23"/>
      <c r="N50" s="23"/>
      <c r="O50" s="23"/>
      <c r="P50" s="23"/>
      <c r="Q50" s="23"/>
      <c r="R50" s="23"/>
      <c r="S50" s="23"/>
      <c r="T50" s="23"/>
      <c r="U50" s="48"/>
    </row>
    <row r="51" spans="3:21" x14ac:dyDescent="0.25">
      <c r="C51" s="46"/>
      <c r="D51" s="23"/>
      <c r="E51" s="23"/>
      <c r="F51" s="23"/>
      <c r="G51" s="23"/>
      <c r="H51" s="23"/>
      <c r="I51" s="23"/>
      <c r="J51" s="23"/>
      <c r="K51" s="23"/>
      <c r="L51" s="23"/>
      <c r="M51" s="23"/>
      <c r="N51" s="23"/>
      <c r="O51" s="23"/>
      <c r="P51" s="23"/>
      <c r="Q51" s="23"/>
      <c r="R51" s="23"/>
      <c r="S51" s="23"/>
      <c r="T51" s="23"/>
      <c r="U51" s="48"/>
    </row>
    <row r="52" spans="3:21" x14ac:dyDescent="0.25">
      <c r="C52" s="46"/>
      <c r="D52" s="23"/>
      <c r="E52" s="23"/>
      <c r="F52" s="23"/>
      <c r="G52" s="23"/>
      <c r="H52" s="23"/>
      <c r="I52" s="23"/>
      <c r="J52" s="23"/>
      <c r="K52" s="23"/>
      <c r="L52" s="23"/>
      <c r="M52" s="23"/>
      <c r="N52" s="23"/>
      <c r="O52" s="23"/>
      <c r="P52" s="23"/>
      <c r="Q52" s="23"/>
      <c r="R52" s="23"/>
      <c r="S52" s="23"/>
      <c r="T52" s="23"/>
      <c r="U52" s="48"/>
    </row>
    <row r="53" spans="3:21" x14ac:dyDescent="0.25">
      <c r="C53" s="46"/>
      <c r="D53" s="23"/>
      <c r="E53" s="23"/>
      <c r="F53" s="23"/>
      <c r="G53" s="23"/>
      <c r="H53" s="23"/>
      <c r="I53" s="23"/>
      <c r="J53" s="23"/>
      <c r="K53" s="23"/>
      <c r="L53" s="23"/>
      <c r="M53" s="23"/>
      <c r="N53" s="23"/>
      <c r="O53" s="23"/>
      <c r="P53" s="23"/>
      <c r="Q53" s="23"/>
      <c r="R53" s="23"/>
      <c r="S53" s="23"/>
      <c r="T53" s="23"/>
      <c r="U53" s="48"/>
    </row>
    <row r="54" spans="3:21" x14ac:dyDescent="0.25">
      <c r="C54" s="46"/>
      <c r="D54" s="23"/>
      <c r="E54" s="23"/>
      <c r="F54" s="23"/>
      <c r="G54" s="23"/>
      <c r="H54" s="23"/>
      <c r="I54" s="23"/>
      <c r="J54" s="23"/>
      <c r="K54" s="23"/>
      <c r="L54" s="23"/>
      <c r="M54" s="23"/>
      <c r="N54" s="23"/>
      <c r="O54" s="23"/>
      <c r="P54" s="23"/>
      <c r="Q54" s="23"/>
      <c r="R54" s="23"/>
      <c r="S54" s="23"/>
      <c r="T54" s="23"/>
      <c r="U54" s="48"/>
    </row>
    <row r="55" spans="3:21" x14ac:dyDescent="0.25">
      <c r="C55" s="46"/>
      <c r="D55" s="23"/>
      <c r="E55" s="23"/>
      <c r="F55" s="23"/>
      <c r="G55" s="23"/>
      <c r="H55" s="23"/>
      <c r="I55" s="23"/>
      <c r="J55" s="23"/>
      <c r="K55" s="23"/>
      <c r="L55" s="23"/>
      <c r="M55" s="23"/>
      <c r="N55" s="23"/>
      <c r="O55" s="23"/>
      <c r="P55" s="23"/>
      <c r="Q55" s="23"/>
      <c r="R55" s="23"/>
      <c r="S55" s="23"/>
      <c r="T55" s="23"/>
      <c r="U55" s="48"/>
    </row>
    <row r="56" spans="3:21" x14ac:dyDescent="0.25">
      <c r="C56" s="46"/>
      <c r="D56" s="23"/>
      <c r="E56" s="23"/>
      <c r="F56" s="23"/>
      <c r="G56" s="23"/>
      <c r="H56" s="23"/>
      <c r="I56" s="23"/>
      <c r="J56" s="23"/>
      <c r="K56" s="23"/>
      <c r="L56" s="23"/>
      <c r="M56" s="23"/>
      <c r="N56" s="23"/>
      <c r="O56" s="23"/>
      <c r="P56" s="23"/>
      <c r="Q56" s="23"/>
      <c r="R56" s="23"/>
      <c r="S56" s="23"/>
      <c r="T56" s="23"/>
      <c r="U56" s="48"/>
    </row>
    <row r="57" spans="3:21" x14ac:dyDescent="0.25">
      <c r="C57" s="46"/>
      <c r="D57" s="23"/>
      <c r="E57" s="23"/>
      <c r="F57" s="23"/>
      <c r="G57" s="23"/>
      <c r="H57" s="23"/>
      <c r="I57" s="23"/>
      <c r="J57" s="23"/>
      <c r="K57" s="23"/>
      <c r="L57" s="23"/>
      <c r="M57" s="23"/>
      <c r="N57" s="23"/>
      <c r="O57" s="23"/>
      <c r="P57" s="23"/>
      <c r="Q57" s="23"/>
      <c r="R57" s="23"/>
      <c r="S57" s="23"/>
      <c r="T57" s="23"/>
      <c r="U57" s="48"/>
    </row>
    <row r="58" spans="3:21" x14ac:dyDescent="0.25">
      <c r="C58" s="46"/>
      <c r="D58" s="23"/>
      <c r="E58" s="23"/>
      <c r="F58" s="23"/>
      <c r="G58" s="23"/>
      <c r="H58" s="23"/>
      <c r="I58" s="23"/>
      <c r="J58" s="23"/>
      <c r="K58" s="23"/>
      <c r="L58" s="23"/>
      <c r="M58" s="23"/>
      <c r="N58" s="23"/>
      <c r="O58" s="23"/>
      <c r="P58" s="23"/>
      <c r="Q58" s="23"/>
      <c r="R58" s="23"/>
      <c r="S58" s="23"/>
      <c r="T58" s="23"/>
      <c r="U58" s="48"/>
    </row>
    <row r="59" spans="3:21" x14ac:dyDescent="0.25">
      <c r="C59" s="46"/>
      <c r="D59" s="23"/>
      <c r="E59" s="23"/>
      <c r="F59" s="23"/>
      <c r="G59" s="23"/>
      <c r="H59" s="23"/>
      <c r="I59" s="23"/>
      <c r="J59" s="23"/>
      <c r="K59" s="23"/>
      <c r="L59" s="23"/>
      <c r="M59" s="23"/>
      <c r="N59" s="23"/>
      <c r="O59" s="23"/>
      <c r="P59" s="23"/>
      <c r="Q59" s="23"/>
      <c r="R59" s="23"/>
      <c r="S59" s="23"/>
      <c r="T59" s="23"/>
      <c r="U59" s="48"/>
    </row>
    <row r="60" spans="3:21" x14ac:dyDescent="0.25">
      <c r="C60" s="46"/>
      <c r="D60" s="23"/>
      <c r="E60" s="23"/>
      <c r="F60" s="23"/>
      <c r="G60" s="23"/>
      <c r="H60" s="23"/>
      <c r="I60" s="23"/>
      <c r="J60" s="23"/>
      <c r="K60" s="23"/>
      <c r="L60" s="23"/>
      <c r="M60" s="23"/>
      <c r="N60" s="23"/>
      <c r="O60" s="23"/>
      <c r="P60" s="23"/>
      <c r="Q60" s="23"/>
      <c r="R60" s="23"/>
      <c r="S60" s="23"/>
      <c r="T60" s="23"/>
      <c r="U60" s="48"/>
    </row>
    <row r="61" spans="3:21" x14ac:dyDescent="0.25">
      <c r="C61" s="46"/>
      <c r="D61" s="23"/>
      <c r="E61" s="23"/>
      <c r="F61" s="23"/>
      <c r="G61" s="23"/>
      <c r="H61" s="23"/>
      <c r="I61" s="23"/>
      <c r="J61" s="23"/>
      <c r="K61" s="23"/>
      <c r="L61" s="23"/>
      <c r="M61" s="23"/>
      <c r="N61" s="23"/>
      <c r="O61" s="23"/>
      <c r="P61" s="23"/>
      <c r="Q61" s="23"/>
      <c r="R61" s="23"/>
      <c r="S61" s="23"/>
      <c r="T61" s="23"/>
      <c r="U61" s="48"/>
    </row>
    <row r="62" spans="3:21" x14ac:dyDescent="0.25">
      <c r="C62" s="46"/>
      <c r="D62" s="23"/>
      <c r="E62" s="23"/>
      <c r="F62" s="23"/>
      <c r="G62" s="23"/>
      <c r="H62" s="23"/>
      <c r="I62" s="23"/>
      <c r="J62" s="23"/>
      <c r="K62" s="23"/>
      <c r="L62" s="23"/>
      <c r="M62" s="23"/>
      <c r="N62" s="23"/>
      <c r="O62" s="23"/>
      <c r="P62" s="23"/>
      <c r="Q62" s="23"/>
      <c r="R62" s="23"/>
      <c r="S62" s="23"/>
      <c r="T62" s="23"/>
      <c r="U62" s="48"/>
    </row>
    <row r="63" spans="3:21" x14ac:dyDescent="0.25">
      <c r="C63" s="46"/>
      <c r="D63" s="23"/>
      <c r="E63" s="23"/>
      <c r="F63" s="23"/>
      <c r="G63" s="23"/>
      <c r="H63" s="23"/>
      <c r="I63" s="23"/>
      <c r="J63" s="23"/>
      <c r="K63" s="23"/>
      <c r="L63" s="23"/>
      <c r="M63" s="23"/>
      <c r="N63" s="23"/>
      <c r="O63" s="23"/>
      <c r="P63" s="23"/>
      <c r="Q63" s="23"/>
      <c r="R63" s="23"/>
      <c r="S63" s="23"/>
      <c r="T63" s="23"/>
      <c r="U63" s="48"/>
    </row>
    <row r="64" spans="3:21" x14ac:dyDescent="0.25">
      <c r="C64" s="46"/>
      <c r="D64" s="23"/>
      <c r="E64" s="23"/>
      <c r="F64" s="23"/>
      <c r="G64" s="23"/>
      <c r="H64" s="23"/>
      <c r="I64" s="23"/>
      <c r="J64" s="23"/>
      <c r="K64" s="23"/>
      <c r="L64" s="23"/>
      <c r="M64" s="23"/>
      <c r="N64" s="23"/>
      <c r="O64" s="23"/>
      <c r="P64" s="23"/>
      <c r="Q64" s="23"/>
      <c r="R64" s="23"/>
      <c r="S64" s="23"/>
      <c r="T64" s="23"/>
      <c r="U64" s="48"/>
    </row>
    <row r="65" spans="3:21" x14ac:dyDescent="0.25">
      <c r="C65" s="46"/>
      <c r="D65" s="23"/>
      <c r="E65" s="23"/>
      <c r="F65" s="23"/>
      <c r="G65" s="23"/>
      <c r="H65" s="23"/>
      <c r="I65" s="23"/>
      <c r="J65" s="23"/>
      <c r="K65" s="23"/>
      <c r="L65" s="23"/>
      <c r="M65" s="23"/>
      <c r="N65" s="23"/>
      <c r="O65" s="23"/>
      <c r="P65" s="23"/>
      <c r="Q65" s="23"/>
      <c r="R65" s="23"/>
      <c r="S65" s="23"/>
      <c r="T65" s="23"/>
      <c r="U65" s="48"/>
    </row>
    <row r="66" spans="3:21" x14ac:dyDescent="0.25">
      <c r="C66" s="46"/>
      <c r="D66" s="23"/>
      <c r="E66" s="23"/>
      <c r="F66" s="23"/>
      <c r="G66" s="23"/>
      <c r="H66" s="23"/>
      <c r="I66" s="23"/>
      <c r="J66" s="23"/>
      <c r="K66" s="23"/>
      <c r="L66" s="23"/>
      <c r="M66" s="23"/>
      <c r="N66" s="23"/>
      <c r="O66" s="23"/>
      <c r="P66" s="23"/>
      <c r="Q66" s="23"/>
      <c r="R66" s="23"/>
      <c r="S66" s="23"/>
      <c r="T66" s="23"/>
      <c r="U66" s="48"/>
    </row>
    <row r="67" spans="3:21" x14ac:dyDescent="0.25">
      <c r="C67" s="46"/>
      <c r="D67" s="23"/>
      <c r="E67" s="23"/>
      <c r="F67" s="23"/>
      <c r="G67" s="23"/>
      <c r="H67" s="23"/>
      <c r="I67" s="23"/>
      <c r="J67" s="23"/>
      <c r="K67" s="23"/>
      <c r="L67" s="23"/>
      <c r="M67" s="23"/>
      <c r="N67" s="23"/>
      <c r="O67" s="23"/>
      <c r="P67" s="23"/>
      <c r="Q67" s="23"/>
      <c r="R67" s="23"/>
      <c r="S67" s="23"/>
      <c r="T67" s="23"/>
      <c r="U67" s="48"/>
    </row>
    <row r="68" spans="3:21" x14ac:dyDescent="0.25">
      <c r="C68" s="46"/>
      <c r="D68" s="23"/>
      <c r="E68" s="23"/>
      <c r="F68" s="23"/>
      <c r="G68" s="23"/>
      <c r="H68" s="23"/>
      <c r="I68" s="23"/>
      <c r="J68" s="23"/>
      <c r="K68" s="23"/>
      <c r="L68" s="23"/>
      <c r="M68" s="23"/>
      <c r="N68" s="23"/>
      <c r="O68" s="23"/>
      <c r="P68" s="23"/>
      <c r="Q68" s="23"/>
      <c r="R68" s="23"/>
      <c r="S68" s="23"/>
      <c r="T68" s="23"/>
      <c r="U68" s="48"/>
    </row>
    <row r="69" spans="3:21" x14ac:dyDescent="0.25">
      <c r="C69" s="46"/>
      <c r="D69" s="23"/>
      <c r="E69" s="23"/>
      <c r="F69" s="23"/>
      <c r="G69" s="23"/>
      <c r="H69" s="23"/>
      <c r="I69" s="23"/>
      <c r="J69" s="23"/>
      <c r="K69" s="23"/>
      <c r="L69" s="23"/>
      <c r="M69" s="23"/>
      <c r="N69" s="23"/>
      <c r="O69" s="23"/>
      <c r="P69" s="23"/>
      <c r="Q69" s="23"/>
      <c r="R69" s="23"/>
      <c r="S69" s="23"/>
      <c r="T69" s="23"/>
      <c r="U69" s="48"/>
    </row>
    <row r="70" spans="3:21" x14ac:dyDescent="0.25">
      <c r="C70" s="46"/>
      <c r="D70" s="23"/>
      <c r="E70" s="23"/>
      <c r="F70" s="23"/>
      <c r="G70" s="23"/>
      <c r="H70" s="23"/>
      <c r="I70" s="23"/>
      <c r="J70" s="23"/>
      <c r="K70" s="23"/>
      <c r="L70" s="23"/>
      <c r="M70" s="23"/>
      <c r="N70" s="23"/>
      <c r="O70" s="23"/>
      <c r="P70" s="23"/>
      <c r="Q70" s="23"/>
      <c r="R70" s="23"/>
      <c r="S70" s="23"/>
      <c r="T70" s="23"/>
      <c r="U70" s="48"/>
    </row>
    <row r="71" spans="3:21" x14ac:dyDescent="0.25">
      <c r="C71" s="46"/>
      <c r="D71" s="23"/>
      <c r="E71" s="23"/>
      <c r="F71" s="23"/>
      <c r="G71" s="23"/>
      <c r="H71" s="23"/>
      <c r="I71" s="23"/>
      <c r="J71" s="23"/>
      <c r="K71" s="23"/>
      <c r="L71" s="23"/>
      <c r="M71" s="23"/>
      <c r="N71" s="23"/>
      <c r="O71" s="23"/>
      <c r="P71" s="23"/>
      <c r="Q71" s="23"/>
      <c r="R71" s="23"/>
      <c r="S71" s="23"/>
      <c r="T71" s="23"/>
      <c r="U71" s="48"/>
    </row>
    <row r="72" spans="3:21" x14ac:dyDescent="0.25">
      <c r="C72" s="46"/>
      <c r="D72" s="23"/>
      <c r="E72" s="23"/>
      <c r="F72" s="23"/>
      <c r="G72" s="23"/>
      <c r="H72" s="23"/>
      <c r="I72" s="23"/>
      <c r="J72" s="23"/>
      <c r="K72" s="23"/>
      <c r="L72" s="23"/>
      <c r="M72" s="23"/>
      <c r="N72" s="23"/>
      <c r="O72" s="23"/>
      <c r="P72" s="23"/>
      <c r="Q72" s="23"/>
      <c r="R72" s="23"/>
      <c r="S72" s="23"/>
      <c r="T72" s="23"/>
      <c r="U72" s="48"/>
    </row>
    <row r="73" spans="3:21" x14ac:dyDescent="0.25">
      <c r="C73" s="46"/>
      <c r="D73" s="23"/>
      <c r="E73" s="23"/>
      <c r="F73" s="23"/>
      <c r="G73" s="23"/>
      <c r="H73" s="23"/>
      <c r="I73" s="23"/>
      <c r="J73" s="23"/>
      <c r="K73" s="23"/>
      <c r="L73" s="23"/>
      <c r="M73" s="23"/>
      <c r="N73" s="23"/>
      <c r="O73" s="23"/>
      <c r="P73" s="23"/>
      <c r="Q73" s="23"/>
      <c r="R73" s="23"/>
      <c r="S73" s="23"/>
      <c r="T73" s="23"/>
      <c r="U73" s="48"/>
    </row>
    <row r="74" spans="3:21" x14ac:dyDescent="0.25">
      <c r="C74" s="46"/>
      <c r="D74" s="23"/>
      <c r="E74" s="23"/>
      <c r="F74" s="23"/>
      <c r="G74" s="23"/>
      <c r="H74" s="23"/>
      <c r="I74" s="23"/>
      <c r="J74" s="23"/>
      <c r="K74" s="23"/>
      <c r="L74" s="23"/>
      <c r="M74" s="23"/>
      <c r="N74" s="23"/>
      <c r="O74" s="23"/>
      <c r="P74" s="23"/>
      <c r="Q74" s="23"/>
      <c r="R74" s="23"/>
      <c r="S74" s="23"/>
      <c r="T74" s="23"/>
      <c r="U74" s="48"/>
    </row>
    <row r="75" spans="3:21" x14ac:dyDescent="0.25">
      <c r="C75" s="46"/>
      <c r="D75" s="23"/>
      <c r="E75" s="23"/>
      <c r="F75" s="23"/>
      <c r="G75" s="23"/>
      <c r="H75" s="23"/>
      <c r="I75" s="23"/>
      <c r="J75" s="23"/>
      <c r="K75" s="23"/>
      <c r="L75" s="23"/>
      <c r="M75" s="23"/>
      <c r="N75" s="23"/>
      <c r="O75" s="23"/>
      <c r="P75" s="23"/>
      <c r="Q75" s="23"/>
      <c r="R75" s="23"/>
      <c r="S75" s="23"/>
      <c r="T75" s="23"/>
      <c r="U75" s="48"/>
    </row>
    <row r="76" spans="3:21" x14ac:dyDescent="0.25">
      <c r="C76" s="46"/>
      <c r="D76" s="23"/>
      <c r="E76" s="23"/>
      <c r="F76" s="23"/>
      <c r="G76" s="23"/>
      <c r="H76" s="23"/>
      <c r="I76" s="23"/>
      <c r="J76" s="23"/>
      <c r="K76" s="23"/>
      <c r="L76" s="23"/>
      <c r="M76" s="23"/>
      <c r="N76" s="23"/>
      <c r="O76" s="23"/>
      <c r="P76" s="23"/>
      <c r="Q76" s="23"/>
      <c r="R76" s="23"/>
      <c r="S76" s="23"/>
      <c r="T76" s="23"/>
      <c r="U76" s="48"/>
    </row>
    <row r="77" spans="3:21" x14ac:dyDescent="0.25">
      <c r="C77" s="46"/>
      <c r="D77" s="23"/>
      <c r="E77" s="23"/>
      <c r="F77" s="23"/>
      <c r="G77" s="23"/>
      <c r="H77" s="23"/>
      <c r="I77" s="23"/>
      <c r="J77" s="23"/>
      <c r="K77" s="23"/>
      <c r="L77" s="23"/>
      <c r="M77" s="23"/>
      <c r="N77" s="23"/>
      <c r="O77" s="23"/>
      <c r="P77" s="23"/>
      <c r="Q77" s="23"/>
      <c r="R77" s="23"/>
      <c r="S77" s="23"/>
      <c r="T77" s="23"/>
      <c r="U77" s="48"/>
    </row>
    <row r="78" spans="3:21" x14ac:dyDescent="0.25">
      <c r="C78" s="46"/>
      <c r="D78" s="23"/>
      <c r="E78" s="23"/>
      <c r="F78" s="23"/>
      <c r="G78" s="23"/>
      <c r="H78" s="23"/>
      <c r="I78" s="23"/>
      <c r="J78" s="23"/>
      <c r="K78" s="23"/>
      <c r="L78" s="23"/>
      <c r="M78" s="23"/>
      <c r="N78" s="23"/>
      <c r="O78" s="23"/>
      <c r="P78" s="23"/>
      <c r="Q78" s="23"/>
      <c r="R78" s="23"/>
      <c r="S78" s="23"/>
      <c r="T78" s="23"/>
      <c r="U78" s="48"/>
    </row>
    <row r="79" spans="3:21" x14ac:dyDescent="0.25">
      <c r="C79" s="46"/>
      <c r="D79" s="23"/>
      <c r="E79" s="23"/>
      <c r="F79" s="23"/>
      <c r="G79" s="23"/>
      <c r="H79" s="23"/>
      <c r="I79" s="23"/>
      <c r="J79" s="23"/>
      <c r="K79" s="23"/>
      <c r="L79" s="23"/>
      <c r="M79" s="23"/>
      <c r="N79" s="23"/>
      <c r="O79" s="23"/>
      <c r="P79" s="23"/>
      <c r="Q79" s="23"/>
      <c r="R79" s="23"/>
      <c r="S79" s="23"/>
      <c r="T79" s="23"/>
      <c r="U79" s="48"/>
    </row>
    <row r="80" spans="3:21" x14ac:dyDescent="0.25">
      <c r="C80" s="46"/>
      <c r="D80" s="23"/>
      <c r="E80" s="23"/>
      <c r="F80" s="23"/>
      <c r="G80" s="23"/>
      <c r="H80" s="23"/>
      <c r="I80" s="23"/>
      <c r="J80" s="23"/>
      <c r="K80" s="23"/>
      <c r="L80" s="23"/>
      <c r="M80" s="23"/>
      <c r="N80" s="23"/>
      <c r="O80" s="23"/>
      <c r="P80" s="23"/>
      <c r="Q80" s="23"/>
      <c r="R80" s="23"/>
      <c r="S80" s="23"/>
      <c r="T80" s="23"/>
      <c r="U80" s="48"/>
    </row>
    <row r="81" spans="3:21" x14ac:dyDescent="0.25">
      <c r="C81" s="46"/>
      <c r="D81" s="23"/>
      <c r="E81" s="23"/>
      <c r="F81" s="23"/>
      <c r="G81" s="23"/>
      <c r="H81" s="23"/>
      <c r="I81" s="23"/>
      <c r="J81" s="23"/>
      <c r="K81" s="23"/>
      <c r="L81" s="23"/>
      <c r="M81" s="23"/>
      <c r="N81" s="23"/>
      <c r="O81" s="23"/>
      <c r="P81" s="23"/>
      <c r="Q81" s="23"/>
      <c r="R81" s="23"/>
      <c r="S81" s="23"/>
      <c r="T81" s="23"/>
      <c r="U81" s="48"/>
    </row>
    <row r="82" spans="3:21" x14ac:dyDescent="0.25">
      <c r="C82" s="46"/>
      <c r="D82" s="23"/>
      <c r="E82" s="23"/>
      <c r="F82" s="23"/>
      <c r="G82" s="23"/>
      <c r="H82" s="23"/>
      <c r="I82" s="23"/>
      <c r="J82" s="23"/>
      <c r="K82" s="23"/>
      <c r="L82" s="23"/>
      <c r="M82" s="23"/>
      <c r="N82" s="23"/>
      <c r="O82" s="23"/>
      <c r="P82" s="23"/>
      <c r="Q82" s="23"/>
      <c r="R82" s="23"/>
      <c r="S82" s="23"/>
      <c r="T82" s="23"/>
      <c r="U82" s="48"/>
    </row>
    <row r="83" spans="3:21" x14ac:dyDescent="0.25">
      <c r="C83" s="46"/>
      <c r="D83" s="23"/>
      <c r="E83" s="23"/>
      <c r="F83" s="23"/>
      <c r="G83" s="23"/>
      <c r="H83" s="23"/>
      <c r="I83" s="23"/>
      <c r="J83" s="23"/>
      <c r="K83" s="23"/>
      <c r="L83" s="23"/>
      <c r="M83" s="23"/>
      <c r="N83" s="23"/>
      <c r="O83" s="23"/>
      <c r="P83" s="23"/>
      <c r="Q83" s="23"/>
      <c r="R83" s="23"/>
      <c r="S83" s="23"/>
      <c r="T83" s="23"/>
      <c r="U83" s="48"/>
    </row>
    <row r="84" spans="3:21" x14ac:dyDescent="0.25">
      <c r="C84" s="46"/>
      <c r="D84" s="23"/>
      <c r="E84" s="23"/>
      <c r="F84" s="23"/>
      <c r="G84" s="23"/>
      <c r="H84" s="23"/>
      <c r="I84" s="23"/>
      <c r="J84" s="23"/>
      <c r="K84" s="23"/>
      <c r="L84" s="23"/>
      <c r="M84" s="23"/>
      <c r="N84" s="23"/>
      <c r="O84" s="23"/>
      <c r="P84" s="23"/>
      <c r="Q84" s="23"/>
      <c r="R84" s="23"/>
      <c r="S84" s="23"/>
      <c r="T84" s="23"/>
      <c r="U84" s="48"/>
    </row>
    <row r="85" spans="3:21" x14ac:dyDescent="0.25">
      <c r="C85" s="46"/>
      <c r="D85" s="23"/>
      <c r="E85" s="23"/>
      <c r="F85" s="23"/>
      <c r="G85" s="23"/>
      <c r="H85" s="23"/>
      <c r="I85" s="23"/>
      <c r="J85" s="23"/>
      <c r="K85" s="23"/>
      <c r="L85" s="23"/>
      <c r="M85" s="23"/>
      <c r="N85" s="23"/>
      <c r="O85" s="23"/>
      <c r="P85" s="23"/>
      <c r="Q85" s="23"/>
      <c r="R85" s="23"/>
      <c r="S85" s="23"/>
      <c r="T85" s="23"/>
      <c r="U85" s="48"/>
    </row>
    <row r="86" spans="3:21" x14ac:dyDescent="0.25">
      <c r="C86" s="46"/>
      <c r="D86" s="23"/>
      <c r="E86" s="23"/>
      <c r="F86" s="23"/>
      <c r="G86" s="23"/>
      <c r="H86" s="23"/>
      <c r="I86" s="23"/>
      <c r="J86" s="23"/>
      <c r="K86" s="23"/>
      <c r="L86" s="23"/>
      <c r="M86" s="23"/>
      <c r="N86" s="23"/>
      <c r="O86" s="23"/>
      <c r="P86" s="23"/>
      <c r="Q86" s="23"/>
      <c r="R86" s="23"/>
      <c r="S86" s="23"/>
      <c r="T86" s="23"/>
      <c r="U86" s="48"/>
    </row>
    <row r="87" spans="3:21" x14ac:dyDescent="0.25">
      <c r="C87" s="46"/>
      <c r="D87" s="23"/>
      <c r="E87" s="23"/>
      <c r="F87" s="23"/>
      <c r="G87" s="23"/>
      <c r="H87" s="23"/>
      <c r="I87" s="23"/>
      <c r="J87" s="23"/>
      <c r="K87" s="23"/>
      <c r="L87" s="23"/>
      <c r="M87" s="23"/>
      <c r="N87" s="23"/>
      <c r="O87" s="23"/>
      <c r="P87" s="23"/>
      <c r="Q87" s="23"/>
      <c r="R87" s="23"/>
      <c r="S87" s="23"/>
      <c r="T87" s="23"/>
      <c r="U87" s="48"/>
    </row>
    <row r="88" spans="3:21" x14ac:dyDescent="0.25">
      <c r="C88" s="46"/>
      <c r="D88" s="23"/>
      <c r="E88" s="23"/>
      <c r="F88" s="23"/>
      <c r="G88" s="23"/>
      <c r="H88" s="23"/>
      <c r="I88" s="23"/>
      <c r="J88" s="23"/>
      <c r="K88" s="23"/>
      <c r="L88" s="23"/>
      <c r="M88" s="23"/>
      <c r="N88" s="23"/>
      <c r="O88" s="23"/>
      <c r="P88" s="23"/>
      <c r="Q88" s="23"/>
      <c r="R88" s="23"/>
      <c r="S88" s="23"/>
      <c r="T88" s="23"/>
      <c r="U88" s="48"/>
    </row>
    <row r="89" spans="3:21" x14ac:dyDescent="0.25">
      <c r="C89" s="46"/>
      <c r="D89" s="23"/>
      <c r="E89" s="23"/>
      <c r="F89" s="23"/>
      <c r="G89" s="23"/>
      <c r="H89" s="23"/>
      <c r="I89" s="23"/>
      <c r="J89" s="23"/>
      <c r="K89" s="23"/>
      <c r="L89" s="23"/>
      <c r="M89" s="23"/>
      <c r="N89" s="23"/>
      <c r="O89" s="23"/>
      <c r="P89" s="23"/>
      <c r="Q89" s="23"/>
      <c r="R89" s="23"/>
      <c r="S89" s="23"/>
      <c r="T89" s="23"/>
      <c r="U89" s="48"/>
    </row>
    <row r="90" spans="3:21" x14ac:dyDescent="0.25">
      <c r="C90" s="46"/>
      <c r="D90" s="23"/>
      <c r="E90" s="23"/>
      <c r="F90" s="23"/>
      <c r="G90" s="23"/>
      <c r="H90" s="23"/>
      <c r="I90" s="23"/>
      <c r="J90" s="23"/>
      <c r="K90" s="23"/>
      <c r="L90" s="23"/>
      <c r="M90" s="23"/>
      <c r="N90" s="23"/>
      <c r="O90" s="23"/>
      <c r="P90" s="23"/>
      <c r="Q90" s="23"/>
      <c r="R90" s="23"/>
      <c r="S90" s="23"/>
      <c r="T90" s="23"/>
      <c r="U90" s="48"/>
    </row>
    <row r="91" spans="3:21" x14ac:dyDescent="0.25">
      <c r="C91" s="46"/>
      <c r="D91" s="23"/>
      <c r="E91" s="23"/>
      <c r="F91" s="23"/>
      <c r="G91" s="23"/>
      <c r="H91" s="23"/>
      <c r="I91" s="23"/>
      <c r="J91" s="23"/>
      <c r="K91" s="23"/>
      <c r="L91" s="23"/>
      <c r="M91" s="23"/>
      <c r="N91" s="23"/>
      <c r="O91" s="23"/>
      <c r="P91" s="23"/>
      <c r="Q91" s="23"/>
      <c r="R91" s="23"/>
      <c r="S91" s="23"/>
      <c r="T91" s="23"/>
      <c r="U91" s="48"/>
    </row>
    <row r="92" spans="3:21" x14ac:dyDescent="0.25">
      <c r="C92" s="46"/>
      <c r="D92" s="23"/>
      <c r="E92" s="23"/>
      <c r="F92" s="23"/>
      <c r="G92" s="23"/>
      <c r="H92" s="23"/>
      <c r="I92" s="23"/>
      <c r="J92" s="23"/>
      <c r="K92" s="23"/>
      <c r="L92" s="23"/>
      <c r="M92" s="23"/>
      <c r="N92" s="23"/>
      <c r="O92" s="23"/>
      <c r="P92" s="23"/>
      <c r="Q92" s="23"/>
      <c r="R92" s="23"/>
      <c r="S92" s="23"/>
      <c r="T92" s="23"/>
      <c r="U92" s="48"/>
    </row>
    <row r="93" spans="3:21" x14ac:dyDescent="0.25">
      <c r="C93" s="46"/>
      <c r="D93" s="23"/>
      <c r="E93" s="23"/>
      <c r="F93" s="23"/>
      <c r="G93" s="23"/>
      <c r="H93" s="23"/>
      <c r="I93" s="23"/>
      <c r="J93" s="23"/>
      <c r="K93" s="23"/>
      <c r="L93" s="23"/>
      <c r="M93" s="23"/>
      <c r="N93" s="23"/>
      <c r="O93" s="23"/>
      <c r="P93" s="23"/>
      <c r="Q93" s="23"/>
      <c r="R93" s="23"/>
      <c r="S93" s="23"/>
      <c r="T93" s="23"/>
      <c r="U93" s="48"/>
    </row>
    <row r="94" spans="3:21" x14ac:dyDescent="0.25">
      <c r="C94" s="46"/>
      <c r="D94" s="23"/>
      <c r="E94" s="23"/>
      <c r="F94" s="23"/>
      <c r="G94" s="23"/>
      <c r="H94" s="23"/>
      <c r="I94" s="23"/>
      <c r="J94" s="23"/>
      <c r="K94" s="23"/>
      <c r="L94" s="23"/>
      <c r="M94" s="23"/>
      <c r="N94" s="23"/>
      <c r="O94" s="23"/>
      <c r="P94" s="23"/>
      <c r="Q94" s="23"/>
      <c r="R94" s="23"/>
      <c r="S94" s="23"/>
      <c r="T94" s="23"/>
      <c r="U94" s="48"/>
    </row>
    <row r="95" spans="3:21" x14ac:dyDescent="0.25">
      <c r="C95" s="46"/>
      <c r="D95" s="23"/>
      <c r="E95" s="23"/>
      <c r="F95" s="23"/>
      <c r="G95" s="23"/>
      <c r="H95" s="23"/>
      <c r="I95" s="23"/>
      <c r="J95" s="23"/>
      <c r="K95" s="23"/>
      <c r="L95" s="23"/>
      <c r="M95" s="23"/>
      <c r="N95" s="23"/>
      <c r="O95" s="23"/>
      <c r="P95" s="23"/>
      <c r="Q95" s="23"/>
      <c r="R95" s="23"/>
      <c r="S95" s="23"/>
      <c r="T95" s="23"/>
      <c r="U95" s="48"/>
    </row>
    <row r="96" spans="3:21" x14ac:dyDescent="0.25">
      <c r="C96" s="46"/>
      <c r="D96" s="23"/>
      <c r="E96" s="23"/>
      <c r="F96" s="23"/>
      <c r="G96" s="23"/>
      <c r="H96" s="23"/>
      <c r="I96" s="23"/>
      <c r="J96" s="23"/>
      <c r="K96" s="23"/>
      <c r="L96" s="23"/>
      <c r="M96" s="23"/>
      <c r="N96" s="23"/>
      <c r="O96" s="23"/>
      <c r="P96" s="23"/>
      <c r="Q96" s="23"/>
      <c r="R96" s="23"/>
      <c r="S96" s="23"/>
      <c r="T96" s="23"/>
      <c r="U96" s="48"/>
    </row>
    <row r="97" spans="3:21" x14ac:dyDescent="0.25">
      <c r="C97" s="46"/>
      <c r="D97" s="23"/>
      <c r="E97" s="23"/>
      <c r="F97" s="23"/>
      <c r="G97" s="23"/>
      <c r="H97" s="23"/>
      <c r="I97" s="23"/>
      <c r="J97" s="23"/>
      <c r="K97" s="23"/>
      <c r="L97" s="23"/>
      <c r="M97" s="23"/>
      <c r="N97" s="23"/>
      <c r="O97" s="23"/>
      <c r="P97" s="23"/>
      <c r="Q97" s="23"/>
      <c r="R97" s="23"/>
      <c r="S97" s="23"/>
      <c r="T97" s="23"/>
      <c r="U97" s="48"/>
    </row>
    <row r="98" spans="3:21" x14ac:dyDescent="0.25">
      <c r="C98" s="46"/>
      <c r="D98" s="23"/>
      <c r="E98" s="23"/>
      <c r="F98" s="23"/>
      <c r="G98" s="23"/>
      <c r="H98" s="23"/>
      <c r="I98" s="23"/>
      <c r="J98" s="23"/>
      <c r="K98" s="23"/>
      <c r="L98" s="23"/>
      <c r="M98" s="23"/>
      <c r="N98" s="23"/>
      <c r="O98" s="23"/>
      <c r="P98" s="23"/>
      <c r="Q98" s="23"/>
      <c r="R98" s="23"/>
      <c r="S98" s="23"/>
      <c r="T98" s="23"/>
      <c r="U98" s="48"/>
    </row>
    <row r="99" spans="3:21" x14ac:dyDescent="0.25">
      <c r="C99" s="46"/>
      <c r="D99" s="23"/>
      <c r="E99" s="23"/>
      <c r="F99" s="23"/>
      <c r="G99" s="23"/>
      <c r="H99" s="23"/>
      <c r="I99" s="23"/>
      <c r="J99" s="23"/>
      <c r="K99" s="23"/>
      <c r="L99" s="23"/>
      <c r="M99" s="23"/>
      <c r="N99" s="23"/>
      <c r="O99" s="23"/>
      <c r="P99" s="23"/>
      <c r="Q99" s="23"/>
      <c r="R99" s="23"/>
      <c r="S99" s="23"/>
      <c r="T99" s="23"/>
      <c r="U99" s="48"/>
    </row>
    <row r="100" spans="3:21" x14ac:dyDescent="0.25">
      <c r="C100" s="46"/>
      <c r="D100" s="23"/>
      <c r="E100" s="23"/>
      <c r="F100" s="23"/>
      <c r="G100" s="23"/>
      <c r="H100" s="23"/>
      <c r="I100" s="23"/>
      <c r="J100" s="23"/>
      <c r="K100" s="23"/>
      <c r="L100" s="23"/>
      <c r="M100" s="23"/>
      <c r="N100" s="23"/>
      <c r="O100" s="23"/>
      <c r="P100" s="23"/>
      <c r="Q100" s="23"/>
      <c r="R100" s="23"/>
      <c r="S100" s="23"/>
      <c r="T100" s="23"/>
      <c r="U100" s="48"/>
    </row>
    <row r="101" spans="3:21" x14ac:dyDescent="0.25">
      <c r="C101" s="46"/>
      <c r="D101" s="23"/>
      <c r="E101" s="23"/>
      <c r="F101" s="23"/>
      <c r="G101" s="23"/>
      <c r="H101" s="23"/>
      <c r="I101" s="23"/>
      <c r="J101" s="23"/>
      <c r="K101" s="23"/>
      <c r="L101" s="23"/>
      <c r="M101" s="23"/>
      <c r="N101" s="23"/>
      <c r="O101" s="23"/>
      <c r="P101" s="23"/>
      <c r="Q101" s="23"/>
      <c r="R101" s="23"/>
      <c r="S101" s="23"/>
      <c r="T101" s="23"/>
      <c r="U101" s="48"/>
    </row>
    <row r="102" spans="3:21" x14ac:dyDescent="0.25">
      <c r="C102" s="46"/>
      <c r="D102" s="23"/>
      <c r="E102" s="23"/>
      <c r="F102" s="23"/>
      <c r="G102" s="23"/>
      <c r="H102" s="23"/>
      <c r="I102" s="23"/>
      <c r="J102" s="23"/>
      <c r="K102" s="23"/>
      <c r="L102" s="23"/>
      <c r="M102" s="23"/>
      <c r="N102" s="23"/>
      <c r="O102" s="23"/>
      <c r="P102" s="23"/>
      <c r="Q102" s="23"/>
      <c r="R102" s="23"/>
      <c r="S102" s="23"/>
      <c r="T102" s="23"/>
      <c r="U102" s="48"/>
    </row>
    <row r="103" spans="3:21" x14ac:dyDescent="0.25">
      <c r="C103" s="46"/>
      <c r="D103" s="23"/>
      <c r="E103" s="23"/>
      <c r="F103" s="23"/>
      <c r="G103" s="23"/>
      <c r="H103" s="23"/>
      <c r="I103" s="23"/>
      <c r="J103" s="23"/>
      <c r="K103" s="23"/>
      <c r="L103" s="23"/>
      <c r="M103" s="23"/>
      <c r="N103" s="23"/>
      <c r="O103" s="23"/>
      <c r="P103" s="23"/>
      <c r="Q103" s="23"/>
      <c r="R103" s="23"/>
      <c r="S103" s="23"/>
      <c r="T103" s="23"/>
      <c r="U103" s="48"/>
    </row>
    <row r="104" spans="3:21" x14ac:dyDescent="0.25">
      <c r="C104" s="46"/>
      <c r="D104" s="23"/>
      <c r="E104" s="23"/>
      <c r="F104" s="23"/>
      <c r="G104" s="23"/>
      <c r="H104" s="23"/>
      <c r="I104" s="23"/>
      <c r="J104" s="23"/>
      <c r="K104" s="23"/>
      <c r="L104" s="23"/>
      <c r="M104" s="23"/>
      <c r="N104" s="23"/>
      <c r="O104" s="23"/>
      <c r="P104" s="23"/>
      <c r="Q104" s="23"/>
      <c r="R104" s="23"/>
      <c r="S104" s="23"/>
      <c r="T104" s="23"/>
      <c r="U104" s="48"/>
    </row>
    <row r="105" spans="3:21" x14ac:dyDescent="0.25">
      <c r="C105" s="46"/>
      <c r="D105" s="23"/>
      <c r="E105" s="23"/>
      <c r="F105" s="23"/>
      <c r="G105" s="23"/>
      <c r="H105" s="23"/>
      <c r="I105" s="23"/>
      <c r="J105" s="23"/>
      <c r="K105" s="23"/>
      <c r="L105" s="23"/>
      <c r="M105" s="23"/>
      <c r="N105" s="23"/>
      <c r="O105" s="23"/>
      <c r="P105" s="23"/>
      <c r="Q105" s="23"/>
      <c r="R105" s="23"/>
      <c r="S105" s="23"/>
      <c r="T105" s="23"/>
      <c r="U105" s="48"/>
    </row>
    <row r="106" spans="3:21" x14ac:dyDescent="0.25">
      <c r="C106" s="46"/>
      <c r="D106" s="23"/>
      <c r="E106" s="23"/>
      <c r="F106" s="23"/>
      <c r="G106" s="23"/>
      <c r="H106" s="23"/>
      <c r="I106" s="23"/>
      <c r="J106" s="23"/>
      <c r="K106" s="23"/>
      <c r="L106" s="23"/>
      <c r="M106" s="23"/>
      <c r="N106" s="23"/>
      <c r="O106" s="23"/>
      <c r="P106" s="23"/>
      <c r="Q106" s="23"/>
      <c r="R106" s="23"/>
      <c r="S106" s="23"/>
      <c r="T106" s="23"/>
      <c r="U106" s="48"/>
    </row>
    <row r="107" spans="3:21" x14ac:dyDescent="0.25">
      <c r="C107" s="46"/>
      <c r="D107" s="23"/>
      <c r="E107" s="23"/>
      <c r="F107" s="23"/>
      <c r="G107" s="23"/>
      <c r="H107" s="23"/>
      <c r="I107" s="23"/>
      <c r="J107" s="23"/>
      <c r="K107" s="23"/>
      <c r="L107" s="23"/>
      <c r="M107" s="23"/>
      <c r="N107" s="23"/>
      <c r="O107" s="23"/>
      <c r="P107" s="23"/>
      <c r="Q107" s="23"/>
      <c r="R107" s="23"/>
      <c r="S107" s="23"/>
      <c r="T107" s="23"/>
      <c r="U107" s="48"/>
    </row>
    <row r="108" spans="3:21" x14ac:dyDescent="0.25">
      <c r="C108" s="46"/>
      <c r="D108" s="23"/>
      <c r="E108" s="23"/>
      <c r="F108" s="23"/>
      <c r="G108" s="23"/>
      <c r="H108" s="23"/>
      <c r="I108" s="23"/>
      <c r="J108" s="23"/>
      <c r="K108" s="23"/>
      <c r="L108" s="23"/>
      <c r="M108" s="23"/>
      <c r="N108" s="23"/>
      <c r="O108" s="23"/>
      <c r="P108" s="23"/>
      <c r="Q108" s="23"/>
      <c r="R108" s="23"/>
      <c r="S108" s="23"/>
      <c r="T108" s="23"/>
      <c r="U108" s="48"/>
    </row>
    <row r="109" spans="3:21" x14ac:dyDescent="0.25">
      <c r="C109" s="46"/>
      <c r="D109" s="23"/>
      <c r="E109" s="23"/>
      <c r="F109" s="23"/>
      <c r="G109" s="23"/>
      <c r="H109" s="23"/>
      <c r="I109" s="23"/>
      <c r="J109" s="23"/>
      <c r="K109" s="23"/>
      <c r="L109" s="23"/>
      <c r="M109" s="23"/>
      <c r="N109" s="23"/>
      <c r="O109" s="23"/>
      <c r="P109" s="23"/>
      <c r="Q109" s="23"/>
      <c r="R109" s="23"/>
      <c r="S109" s="23"/>
      <c r="T109" s="23"/>
      <c r="U109" s="48"/>
    </row>
    <row r="110" spans="3:21" x14ac:dyDescent="0.25">
      <c r="C110" s="46"/>
      <c r="D110" s="23"/>
      <c r="E110" s="23"/>
      <c r="F110" s="23"/>
      <c r="G110" s="23"/>
      <c r="H110" s="23"/>
      <c r="I110" s="23"/>
      <c r="J110" s="23"/>
      <c r="K110" s="23"/>
      <c r="L110" s="23"/>
      <c r="M110" s="23"/>
      <c r="N110" s="23"/>
      <c r="O110" s="23"/>
      <c r="P110" s="23"/>
      <c r="Q110" s="23"/>
      <c r="R110" s="23"/>
      <c r="S110" s="23"/>
      <c r="T110" s="23"/>
      <c r="U110" s="48"/>
    </row>
    <row r="111" spans="3:21" x14ac:dyDescent="0.25">
      <c r="C111" s="46"/>
      <c r="D111" s="23"/>
      <c r="E111" s="23"/>
      <c r="F111" s="23"/>
      <c r="G111" s="23"/>
      <c r="H111" s="23"/>
      <c r="I111" s="23"/>
      <c r="J111" s="23"/>
      <c r="K111" s="23"/>
      <c r="L111" s="23"/>
      <c r="M111" s="23"/>
      <c r="N111" s="23"/>
      <c r="O111" s="23"/>
      <c r="P111" s="23"/>
      <c r="Q111" s="23"/>
      <c r="R111" s="23"/>
      <c r="S111" s="23"/>
      <c r="T111" s="23"/>
      <c r="U111" s="48"/>
    </row>
    <row r="112" spans="3:21" x14ac:dyDescent="0.25">
      <c r="C112" s="46"/>
      <c r="D112" s="23"/>
      <c r="E112" s="23"/>
      <c r="F112" s="23"/>
      <c r="G112" s="23"/>
      <c r="H112" s="23"/>
      <c r="I112" s="23"/>
      <c r="J112" s="23"/>
      <c r="K112" s="23"/>
      <c r="L112" s="23"/>
      <c r="M112" s="23"/>
      <c r="N112" s="23"/>
      <c r="O112" s="23"/>
      <c r="P112" s="23"/>
      <c r="Q112" s="23"/>
      <c r="R112" s="23"/>
      <c r="S112" s="23"/>
      <c r="T112" s="23"/>
      <c r="U112" s="48"/>
    </row>
    <row r="113" spans="3:21" x14ac:dyDescent="0.25">
      <c r="C113" s="46"/>
      <c r="D113" s="23"/>
      <c r="E113" s="23"/>
      <c r="F113" s="23"/>
      <c r="G113" s="23"/>
      <c r="H113" s="23"/>
      <c r="I113" s="23"/>
      <c r="J113" s="23"/>
      <c r="K113" s="23"/>
      <c r="L113" s="23"/>
      <c r="M113" s="23"/>
      <c r="N113" s="23"/>
      <c r="O113" s="23"/>
      <c r="P113" s="23"/>
      <c r="Q113" s="23"/>
      <c r="R113" s="23"/>
      <c r="S113" s="23"/>
      <c r="T113" s="23"/>
      <c r="U113" s="48"/>
    </row>
    <row r="114" spans="3:21" x14ac:dyDescent="0.25">
      <c r="C114" s="46"/>
      <c r="D114" s="23"/>
      <c r="E114" s="23"/>
      <c r="F114" s="23"/>
      <c r="G114" s="23"/>
      <c r="H114" s="23"/>
      <c r="I114" s="23"/>
      <c r="J114" s="23"/>
      <c r="K114" s="23"/>
      <c r="L114" s="23"/>
      <c r="M114" s="23"/>
      <c r="N114" s="23"/>
      <c r="O114" s="23"/>
      <c r="P114" s="23"/>
      <c r="Q114" s="23"/>
      <c r="R114" s="23"/>
      <c r="S114" s="23"/>
      <c r="T114" s="23"/>
      <c r="U114" s="48"/>
    </row>
    <row r="115" spans="3:21" x14ac:dyDescent="0.25">
      <c r="C115" s="46"/>
      <c r="D115" s="23"/>
      <c r="E115" s="23"/>
      <c r="F115" s="23"/>
      <c r="G115" s="23"/>
      <c r="H115" s="23"/>
      <c r="I115" s="23"/>
      <c r="J115" s="23"/>
      <c r="K115" s="23"/>
      <c r="L115" s="23"/>
      <c r="M115" s="23"/>
      <c r="N115" s="23"/>
      <c r="O115" s="23"/>
      <c r="P115" s="23"/>
      <c r="Q115" s="23"/>
      <c r="R115" s="23"/>
      <c r="S115" s="23"/>
      <c r="T115" s="23"/>
      <c r="U115" s="48"/>
    </row>
    <row r="116" spans="3:21" x14ac:dyDescent="0.25">
      <c r="C116" s="46"/>
      <c r="D116" s="23"/>
      <c r="E116" s="23"/>
      <c r="F116" s="23"/>
      <c r="G116" s="23"/>
      <c r="H116" s="23"/>
      <c r="I116" s="23"/>
      <c r="J116" s="23"/>
      <c r="K116" s="23"/>
      <c r="L116" s="23"/>
      <c r="M116" s="23"/>
      <c r="N116" s="23"/>
      <c r="O116" s="23"/>
      <c r="P116" s="23"/>
      <c r="Q116" s="23"/>
      <c r="R116" s="23"/>
      <c r="S116" s="23"/>
      <c r="T116" s="23"/>
      <c r="U116" s="48"/>
    </row>
    <row r="117" spans="3:21" x14ac:dyDescent="0.25">
      <c r="C117" s="46"/>
      <c r="D117" s="23"/>
      <c r="E117" s="23"/>
      <c r="F117" s="23"/>
      <c r="G117" s="23"/>
      <c r="H117" s="23"/>
      <c r="I117" s="23"/>
      <c r="J117" s="23"/>
      <c r="K117" s="23"/>
      <c r="L117" s="23"/>
      <c r="M117" s="23"/>
      <c r="N117" s="23"/>
      <c r="O117" s="23"/>
      <c r="P117" s="23"/>
      <c r="Q117" s="23"/>
      <c r="R117" s="23"/>
      <c r="S117" s="23"/>
      <c r="T117" s="23"/>
      <c r="U117" s="48"/>
    </row>
    <row r="118" spans="3:21" x14ac:dyDescent="0.25">
      <c r="C118" s="46"/>
      <c r="D118" s="23"/>
      <c r="E118" s="23"/>
      <c r="F118" s="23"/>
      <c r="G118" s="23"/>
      <c r="H118" s="23"/>
      <c r="I118" s="23"/>
      <c r="J118" s="23"/>
      <c r="K118" s="23"/>
      <c r="L118" s="23"/>
      <c r="M118" s="23"/>
      <c r="N118" s="23"/>
      <c r="O118" s="23"/>
      <c r="P118" s="23"/>
      <c r="Q118" s="23"/>
      <c r="R118" s="23"/>
      <c r="S118" s="23"/>
      <c r="T118" s="23"/>
      <c r="U118" s="48"/>
    </row>
    <row r="119" spans="3:21" x14ac:dyDescent="0.25">
      <c r="C119" s="46"/>
      <c r="D119" s="23"/>
      <c r="E119" s="23"/>
      <c r="F119" s="23"/>
      <c r="G119" s="23"/>
      <c r="H119" s="23"/>
      <c r="I119" s="23"/>
      <c r="J119" s="23"/>
      <c r="K119" s="23"/>
      <c r="L119" s="23"/>
      <c r="M119" s="23"/>
      <c r="N119" s="23"/>
      <c r="O119" s="23"/>
      <c r="P119" s="23"/>
      <c r="Q119" s="23"/>
      <c r="R119" s="23"/>
      <c r="S119" s="23"/>
      <c r="T119" s="23"/>
      <c r="U119" s="48"/>
    </row>
    <row r="120" spans="3:21" x14ac:dyDescent="0.25">
      <c r="C120" s="46"/>
      <c r="D120" s="23"/>
      <c r="E120" s="23"/>
      <c r="F120" s="23"/>
      <c r="G120" s="23"/>
      <c r="H120" s="23"/>
      <c r="I120" s="23"/>
      <c r="J120" s="23"/>
      <c r="K120" s="23"/>
      <c r="L120" s="23"/>
      <c r="M120" s="23"/>
      <c r="N120" s="23"/>
      <c r="O120" s="23"/>
      <c r="P120" s="23"/>
      <c r="Q120" s="23"/>
      <c r="R120" s="23"/>
      <c r="S120" s="23"/>
      <c r="T120" s="23"/>
      <c r="U120" s="48"/>
    </row>
    <row r="121" spans="3:21" x14ac:dyDescent="0.25">
      <c r="C121" s="46"/>
      <c r="D121" s="23"/>
      <c r="E121" s="23"/>
      <c r="F121" s="23"/>
      <c r="G121" s="23"/>
      <c r="H121" s="23"/>
      <c r="I121" s="23"/>
      <c r="J121" s="23"/>
      <c r="K121" s="23"/>
      <c r="L121" s="23"/>
      <c r="M121" s="23"/>
      <c r="N121" s="23"/>
      <c r="O121" s="23"/>
      <c r="P121" s="23"/>
      <c r="Q121" s="23"/>
      <c r="R121" s="23"/>
      <c r="S121" s="23"/>
      <c r="T121" s="23"/>
      <c r="U121" s="48"/>
    </row>
    <row r="122" spans="3:21" x14ac:dyDescent="0.25">
      <c r="C122" s="46"/>
      <c r="D122" s="23"/>
      <c r="E122" s="23"/>
      <c r="F122" s="23"/>
      <c r="G122" s="23"/>
      <c r="H122" s="23"/>
      <c r="I122" s="23"/>
      <c r="J122" s="23"/>
      <c r="K122" s="23"/>
      <c r="L122" s="23"/>
      <c r="M122" s="23"/>
      <c r="N122" s="23"/>
      <c r="O122" s="23"/>
      <c r="P122" s="23"/>
      <c r="Q122" s="23"/>
      <c r="R122" s="23"/>
      <c r="S122" s="23"/>
      <c r="T122" s="23"/>
      <c r="U122" s="48"/>
    </row>
    <row r="123" spans="3:21" x14ac:dyDescent="0.25">
      <c r="C123" s="46"/>
      <c r="D123" s="23"/>
      <c r="E123" s="23"/>
      <c r="F123" s="23"/>
      <c r="G123" s="23"/>
      <c r="H123" s="23"/>
      <c r="I123" s="23"/>
      <c r="J123" s="23"/>
      <c r="K123" s="23"/>
      <c r="L123" s="23"/>
      <c r="M123" s="23"/>
      <c r="N123" s="23"/>
      <c r="O123" s="23"/>
      <c r="P123" s="23"/>
      <c r="Q123" s="23"/>
      <c r="R123" s="23"/>
      <c r="S123" s="23"/>
      <c r="T123" s="23"/>
      <c r="U123" s="48"/>
    </row>
    <row r="124" spans="3:21" x14ac:dyDescent="0.25">
      <c r="C124" s="46"/>
      <c r="D124" s="23"/>
      <c r="E124" s="23"/>
      <c r="F124" s="23"/>
      <c r="G124" s="23"/>
      <c r="H124" s="23"/>
      <c r="I124" s="23"/>
      <c r="J124" s="23"/>
      <c r="K124" s="23"/>
      <c r="L124" s="23"/>
      <c r="M124" s="23"/>
      <c r="N124" s="23"/>
      <c r="O124" s="23"/>
      <c r="P124" s="23"/>
      <c r="Q124" s="23"/>
      <c r="R124" s="23"/>
      <c r="S124" s="23"/>
      <c r="T124" s="23"/>
      <c r="U124" s="48"/>
    </row>
    <row r="125" spans="3:21" x14ac:dyDescent="0.25">
      <c r="C125" s="46"/>
      <c r="D125" s="23"/>
      <c r="E125" s="23"/>
      <c r="F125" s="23"/>
      <c r="G125" s="23"/>
      <c r="H125" s="23"/>
      <c r="I125" s="23"/>
      <c r="J125" s="23"/>
      <c r="K125" s="23"/>
      <c r="L125" s="23"/>
      <c r="M125" s="23"/>
      <c r="N125" s="23"/>
      <c r="O125" s="23"/>
      <c r="P125" s="23"/>
      <c r="Q125" s="23"/>
      <c r="R125" s="23"/>
      <c r="S125" s="23"/>
      <c r="T125" s="23"/>
      <c r="U125" s="48"/>
    </row>
    <row r="126" spans="3:21" x14ac:dyDescent="0.25">
      <c r="C126" s="46"/>
      <c r="D126" s="23"/>
      <c r="E126" s="23"/>
      <c r="F126" s="23"/>
      <c r="G126" s="23"/>
      <c r="H126" s="23"/>
      <c r="I126" s="23"/>
      <c r="J126" s="23"/>
      <c r="K126" s="23"/>
      <c r="L126" s="23"/>
      <c r="M126" s="23"/>
      <c r="N126" s="23"/>
      <c r="O126" s="23"/>
      <c r="P126" s="23"/>
      <c r="Q126" s="23"/>
      <c r="R126" s="23"/>
      <c r="S126" s="23"/>
      <c r="T126" s="23"/>
      <c r="U126" s="48"/>
    </row>
    <row r="127" spans="3:21" x14ac:dyDescent="0.25">
      <c r="C127" s="46"/>
      <c r="D127" s="23"/>
      <c r="E127" s="23"/>
      <c r="F127" s="23"/>
      <c r="G127" s="23"/>
      <c r="H127" s="23"/>
      <c r="I127" s="23"/>
      <c r="J127" s="23"/>
      <c r="K127" s="23"/>
      <c r="L127" s="23"/>
      <c r="M127" s="23"/>
      <c r="N127" s="23"/>
      <c r="O127" s="23"/>
      <c r="P127" s="23"/>
      <c r="Q127" s="23"/>
      <c r="R127" s="23"/>
      <c r="S127" s="23"/>
      <c r="T127" s="23"/>
      <c r="U127" s="48"/>
    </row>
    <row r="128" spans="3:21" x14ac:dyDescent="0.25">
      <c r="C128" s="46"/>
      <c r="D128" s="23"/>
      <c r="E128" s="23"/>
      <c r="F128" s="23"/>
      <c r="G128" s="23"/>
      <c r="H128" s="23"/>
      <c r="I128" s="23"/>
      <c r="J128" s="23"/>
      <c r="K128" s="23"/>
      <c r="L128" s="23"/>
      <c r="M128" s="23"/>
      <c r="N128" s="23"/>
      <c r="O128" s="23"/>
      <c r="P128" s="23"/>
      <c r="Q128" s="23"/>
      <c r="R128" s="23"/>
      <c r="S128" s="23"/>
      <c r="T128" s="23"/>
      <c r="U128" s="48"/>
    </row>
    <row r="129" spans="3:21" x14ac:dyDescent="0.25">
      <c r="C129" s="46"/>
      <c r="D129" s="23"/>
      <c r="E129" s="23"/>
      <c r="F129" s="23"/>
      <c r="G129" s="23"/>
      <c r="H129" s="23"/>
      <c r="I129" s="23"/>
      <c r="J129" s="23"/>
      <c r="K129" s="23"/>
      <c r="L129" s="23"/>
      <c r="M129" s="23"/>
      <c r="N129" s="23"/>
      <c r="O129" s="23"/>
      <c r="P129" s="23"/>
      <c r="Q129" s="23"/>
      <c r="R129" s="23"/>
      <c r="S129" s="23"/>
      <c r="T129" s="23"/>
      <c r="U129" s="48"/>
    </row>
    <row r="130" spans="3:21" x14ac:dyDescent="0.25">
      <c r="C130" s="46"/>
      <c r="D130" s="23"/>
      <c r="E130" s="23"/>
      <c r="F130" s="23"/>
      <c r="G130" s="23"/>
      <c r="H130" s="23"/>
      <c r="I130" s="23"/>
      <c r="J130" s="23"/>
      <c r="K130" s="23"/>
      <c r="L130" s="23"/>
      <c r="M130" s="23"/>
      <c r="N130" s="23"/>
      <c r="O130" s="23"/>
      <c r="P130" s="23"/>
      <c r="Q130" s="23"/>
      <c r="R130" s="23"/>
      <c r="S130" s="23"/>
      <c r="T130" s="23"/>
      <c r="U130" s="48"/>
    </row>
    <row r="131" spans="3:21" x14ac:dyDescent="0.25">
      <c r="C131" s="46"/>
      <c r="D131" s="23"/>
      <c r="E131" s="23"/>
      <c r="F131" s="23"/>
      <c r="G131" s="23"/>
      <c r="H131" s="23"/>
      <c r="I131" s="23"/>
      <c r="J131" s="23"/>
      <c r="K131" s="23"/>
      <c r="L131" s="23"/>
      <c r="M131" s="23"/>
      <c r="N131" s="23"/>
      <c r="O131" s="23"/>
      <c r="P131" s="23"/>
      <c r="Q131" s="23"/>
      <c r="R131" s="23"/>
      <c r="S131" s="23"/>
      <c r="T131" s="23"/>
      <c r="U131" s="48"/>
    </row>
    <row r="132" spans="3:21" x14ac:dyDescent="0.25">
      <c r="C132" s="46"/>
      <c r="D132" s="23"/>
      <c r="E132" s="23"/>
      <c r="F132" s="23"/>
      <c r="G132" s="23"/>
      <c r="H132" s="23"/>
      <c r="I132" s="23"/>
      <c r="J132" s="23"/>
      <c r="K132" s="23"/>
      <c r="L132" s="23"/>
      <c r="M132" s="23"/>
      <c r="N132" s="23"/>
      <c r="O132" s="23"/>
      <c r="P132" s="23"/>
      <c r="Q132" s="23"/>
      <c r="R132" s="23"/>
      <c r="S132" s="23"/>
      <c r="T132" s="23"/>
      <c r="U132" s="48"/>
    </row>
    <row r="133" spans="3:21" x14ac:dyDescent="0.25">
      <c r="C133" s="46"/>
      <c r="D133" s="23"/>
      <c r="E133" s="23"/>
      <c r="F133" s="23"/>
      <c r="G133" s="23"/>
      <c r="H133" s="23"/>
      <c r="I133" s="23"/>
      <c r="J133" s="23"/>
      <c r="K133" s="23"/>
      <c r="L133" s="23"/>
      <c r="M133" s="23"/>
      <c r="N133" s="23"/>
      <c r="O133" s="23"/>
      <c r="P133" s="23"/>
      <c r="Q133" s="23"/>
      <c r="R133" s="23"/>
      <c r="S133" s="23"/>
      <c r="T133" s="23"/>
      <c r="U133" s="48"/>
    </row>
    <row r="134" spans="3:21" x14ac:dyDescent="0.25">
      <c r="C134" s="46"/>
      <c r="D134" s="23"/>
      <c r="E134" s="23"/>
      <c r="F134" s="23"/>
      <c r="G134" s="23"/>
      <c r="H134" s="23"/>
      <c r="I134" s="23"/>
      <c r="J134" s="23"/>
      <c r="K134" s="23"/>
      <c r="L134" s="23"/>
      <c r="M134" s="23"/>
      <c r="N134" s="23"/>
      <c r="O134" s="23"/>
      <c r="P134" s="23"/>
      <c r="Q134" s="23"/>
      <c r="R134" s="23"/>
      <c r="S134" s="23"/>
      <c r="T134" s="23"/>
      <c r="U134" s="48"/>
    </row>
    <row r="135" spans="3:21" x14ac:dyDescent="0.25">
      <c r="C135" s="46"/>
      <c r="D135" s="23"/>
      <c r="E135" s="23"/>
      <c r="F135" s="23"/>
      <c r="G135" s="23"/>
      <c r="H135" s="23"/>
      <c r="I135" s="23"/>
      <c r="J135" s="23"/>
      <c r="K135" s="23"/>
      <c r="L135" s="23"/>
      <c r="M135" s="23"/>
      <c r="N135" s="23"/>
      <c r="O135" s="23"/>
      <c r="P135" s="23"/>
      <c r="Q135" s="23"/>
      <c r="R135" s="23"/>
      <c r="S135" s="23"/>
      <c r="T135" s="23"/>
      <c r="U135" s="48"/>
    </row>
    <row r="136" spans="3:21" x14ac:dyDescent="0.25">
      <c r="C136" s="46"/>
      <c r="D136" s="23"/>
      <c r="E136" s="23"/>
      <c r="F136" s="23"/>
      <c r="G136" s="23"/>
      <c r="H136" s="23"/>
      <c r="I136" s="23"/>
      <c r="J136" s="23"/>
      <c r="K136" s="23"/>
      <c r="L136" s="23"/>
      <c r="M136" s="23"/>
      <c r="N136" s="23"/>
      <c r="O136" s="23"/>
      <c r="P136" s="23"/>
      <c r="Q136" s="23"/>
      <c r="R136" s="23"/>
      <c r="S136" s="23"/>
      <c r="T136" s="23"/>
      <c r="U136" s="48"/>
    </row>
    <row r="137" spans="3:21" x14ac:dyDescent="0.25">
      <c r="C137" s="46"/>
      <c r="D137" s="23"/>
      <c r="E137" s="23"/>
      <c r="F137" s="23"/>
      <c r="G137" s="23"/>
      <c r="H137" s="23"/>
      <c r="I137" s="23"/>
      <c r="J137" s="23"/>
      <c r="K137" s="23"/>
      <c r="L137" s="23"/>
      <c r="M137" s="23"/>
      <c r="N137" s="23"/>
      <c r="O137" s="23"/>
      <c r="P137" s="23"/>
      <c r="Q137" s="23"/>
      <c r="R137" s="23"/>
      <c r="S137" s="23"/>
      <c r="T137" s="23"/>
      <c r="U137" s="48"/>
    </row>
    <row r="138" spans="3:21" x14ac:dyDescent="0.25">
      <c r="C138" s="46"/>
      <c r="D138" s="23"/>
      <c r="E138" s="23"/>
      <c r="F138" s="23"/>
      <c r="G138" s="23"/>
      <c r="H138" s="23"/>
      <c r="I138" s="23"/>
      <c r="J138" s="23"/>
      <c r="K138" s="23"/>
      <c r="L138" s="23"/>
      <c r="M138" s="23"/>
      <c r="N138" s="23"/>
      <c r="O138" s="23"/>
      <c r="P138" s="23"/>
      <c r="Q138" s="23"/>
      <c r="R138" s="23"/>
      <c r="S138" s="23"/>
      <c r="T138" s="23"/>
      <c r="U138" s="48"/>
    </row>
    <row r="139" spans="3:21" x14ac:dyDescent="0.25">
      <c r="C139" s="46"/>
      <c r="D139" s="23"/>
      <c r="E139" s="23"/>
      <c r="F139" s="23"/>
      <c r="G139" s="23"/>
      <c r="H139" s="23"/>
      <c r="I139" s="23"/>
      <c r="J139" s="23"/>
      <c r="K139" s="23"/>
      <c r="L139" s="23"/>
      <c r="M139" s="23"/>
      <c r="N139" s="23"/>
      <c r="O139" s="23"/>
      <c r="P139" s="23"/>
      <c r="Q139" s="23"/>
      <c r="R139" s="23"/>
      <c r="S139" s="23"/>
      <c r="T139" s="23"/>
      <c r="U139" s="48"/>
    </row>
    <row r="140" spans="3:21" x14ac:dyDescent="0.25">
      <c r="C140" s="46"/>
      <c r="D140" s="23"/>
      <c r="E140" s="23"/>
      <c r="F140" s="23"/>
      <c r="G140" s="23"/>
      <c r="H140" s="23"/>
      <c r="I140" s="23"/>
      <c r="J140" s="23"/>
      <c r="K140" s="23"/>
      <c r="L140" s="23"/>
      <c r="M140" s="23"/>
      <c r="N140" s="23"/>
      <c r="O140" s="23"/>
      <c r="P140" s="23"/>
      <c r="Q140" s="23"/>
      <c r="R140" s="23"/>
      <c r="S140" s="23"/>
      <c r="T140" s="23"/>
      <c r="U140" s="48"/>
    </row>
    <row r="141" spans="3:21" x14ac:dyDescent="0.25">
      <c r="C141" s="46"/>
      <c r="D141" s="23"/>
      <c r="E141" s="23"/>
      <c r="F141" s="23"/>
      <c r="G141" s="23"/>
      <c r="H141" s="23"/>
      <c r="I141" s="23"/>
      <c r="J141" s="23"/>
      <c r="K141" s="23"/>
      <c r="L141" s="23"/>
      <c r="M141" s="23"/>
      <c r="N141" s="23"/>
      <c r="O141" s="23"/>
      <c r="P141" s="23"/>
      <c r="Q141" s="23"/>
      <c r="R141" s="23"/>
      <c r="S141" s="23"/>
      <c r="T141" s="23"/>
      <c r="U141" s="48"/>
    </row>
    <row r="142" spans="3:21" x14ac:dyDescent="0.25">
      <c r="C142" s="46"/>
      <c r="D142" s="23"/>
      <c r="E142" s="23"/>
      <c r="F142" s="23"/>
      <c r="G142" s="23"/>
      <c r="H142" s="23"/>
      <c r="I142" s="23"/>
      <c r="J142" s="23"/>
      <c r="K142" s="23"/>
      <c r="L142" s="23"/>
      <c r="M142" s="23"/>
      <c r="N142" s="23"/>
      <c r="O142" s="23"/>
      <c r="P142" s="23"/>
      <c r="Q142" s="23"/>
      <c r="R142" s="23"/>
      <c r="S142" s="23"/>
      <c r="T142" s="23"/>
      <c r="U142" s="48"/>
    </row>
    <row r="143" spans="3:21" x14ac:dyDescent="0.25">
      <c r="C143" s="46"/>
      <c r="D143" s="23"/>
      <c r="E143" s="23"/>
      <c r="F143" s="23"/>
      <c r="G143" s="23"/>
      <c r="H143" s="23"/>
      <c r="I143" s="23"/>
      <c r="J143" s="23"/>
      <c r="K143" s="23"/>
      <c r="L143" s="23"/>
      <c r="M143" s="23"/>
      <c r="N143" s="23"/>
      <c r="O143" s="23"/>
      <c r="P143" s="23"/>
      <c r="Q143" s="23"/>
      <c r="R143" s="23"/>
      <c r="S143" s="23"/>
      <c r="T143" s="23"/>
      <c r="U143" s="48"/>
    </row>
    <row r="144" spans="3:21" x14ac:dyDescent="0.25">
      <c r="C144" s="46"/>
      <c r="D144" s="23"/>
      <c r="E144" s="23"/>
      <c r="F144" s="23"/>
      <c r="G144" s="23"/>
      <c r="H144" s="23"/>
      <c r="I144" s="23"/>
      <c r="J144" s="23"/>
      <c r="K144" s="23"/>
      <c r="L144" s="23"/>
      <c r="M144" s="23"/>
      <c r="N144" s="23"/>
      <c r="O144" s="23"/>
      <c r="P144" s="23"/>
      <c r="Q144" s="23"/>
      <c r="R144" s="23"/>
      <c r="S144" s="23"/>
      <c r="T144" s="23"/>
      <c r="U144" s="48"/>
    </row>
    <row r="145" spans="3:21" x14ac:dyDescent="0.25">
      <c r="C145" s="46"/>
      <c r="D145" s="23"/>
      <c r="E145" s="23"/>
      <c r="F145" s="23"/>
      <c r="G145" s="23"/>
      <c r="H145" s="23"/>
      <c r="I145" s="23"/>
      <c r="J145" s="23"/>
      <c r="K145" s="23"/>
      <c r="L145" s="23"/>
      <c r="M145" s="23"/>
      <c r="N145" s="23"/>
      <c r="O145" s="23"/>
      <c r="P145" s="23"/>
      <c r="Q145" s="23"/>
      <c r="R145" s="23"/>
      <c r="S145" s="23"/>
      <c r="T145" s="23"/>
      <c r="U145" s="48"/>
    </row>
    <row r="146" spans="3:21" x14ac:dyDescent="0.25">
      <c r="C146" s="46"/>
      <c r="D146" s="23"/>
      <c r="E146" s="23"/>
      <c r="F146" s="23"/>
      <c r="G146" s="23"/>
      <c r="H146" s="23"/>
      <c r="I146" s="23"/>
      <c r="J146" s="23"/>
      <c r="K146" s="23"/>
      <c r="L146" s="23"/>
      <c r="M146" s="23"/>
      <c r="N146" s="23"/>
      <c r="O146" s="23"/>
      <c r="P146" s="23"/>
      <c r="Q146" s="23"/>
      <c r="R146" s="23"/>
      <c r="S146" s="23"/>
      <c r="T146" s="23"/>
      <c r="U146" s="48"/>
    </row>
    <row r="147" spans="3:21" x14ac:dyDescent="0.25">
      <c r="C147" s="46"/>
      <c r="D147" s="23"/>
      <c r="E147" s="23"/>
      <c r="F147" s="23"/>
      <c r="G147" s="23"/>
      <c r="H147" s="23"/>
      <c r="I147" s="23"/>
      <c r="J147" s="23"/>
      <c r="K147" s="23"/>
      <c r="L147" s="23"/>
      <c r="M147" s="23"/>
      <c r="N147" s="23"/>
      <c r="O147" s="23"/>
      <c r="P147" s="23"/>
      <c r="Q147" s="23"/>
      <c r="R147" s="23"/>
      <c r="S147" s="23"/>
      <c r="T147" s="23"/>
      <c r="U147" s="48"/>
    </row>
    <row r="148" spans="3:21" x14ac:dyDescent="0.25">
      <c r="C148" s="46"/>
      <c r="D148" s="23"/>
      <c r="E148" s="23"/>
      <c r="F148" s="23"/>
      <c r="G148" s="23"/>
      <c r="H148" s="23"/>
      <c r="I148" s="23"/>
      <c r="J148" s="23"/>
      <c r="K148" s="23"/>
      <c r="L148" s="23"/>
      <c r="M148" s="23"/>
      <c r="N148" s="23"/>
      <c r="O148" s="23"/>
      <c r="P148" s="23"/>
      <c r="Q148" s="23"/>
      <c r="R148" s="23"/>
      <c r="S148" s="23"/>
      <c r="T148" s="23"/>
      <c r="U148" s="48"/>
    </row>
    <row r="149" spans="3:21" x14ac:dyDescent="0.25">
      <c r="C149" s="46"/>
      <c r="D149" s="23"/>
      <c r="E149" s="23"/>
      <c r="F149" s="23"/>
      <c r="G149" s="23"/>
      <c r="H149" s="23"/>
      <c r="I149" s="23"/>
      <c r="J149" s="23"/>
      <c r="K149" s="23"/>
      <c r="L149" s="23"/>
      <c r="M149" s="23"/>
      <c r="N149" s="23"/>
      <c r="O149" s="23"/>
      <c r="P149" s="23"/>
      <c r="Q149" s="23"/>
      <c r="R149" s="23"/>
      <c r="S149" s="23"/>
      <c r="T149" s="23"/>
      <c r="U149" s="48"/>
    </row>
    <row r="150" spans="3:21" x14ac:dyDescent="0.25">
      <c r="C150" s="46"/>
      <c r="D150" s="23"/>
      <c r="E150" s="23"/>
      <c r="F150" s="23"/>
      <c r="G150" s="23"/>
      <c r="H150" s="23"/>
      <c r="I150" s="23"/>
      <c r="J150" s="23"/>
      <c r="K150" s="23"/>
      <c r="L150" s="23"/>
      <c r="M150" s="23"/>
      <c r="N150" s="23"/>
      <c r="O150" s="23"/>
      <c r="P150" s="23"/>
      <c r="Q150" s="23"/>
      <c r="R150" s="23"/>
      <c r="S150" s="23"/>
      <c r="T150" s="23"/>
      <c r="U150" s="48"/>
    </row>
    <row r="151" spans="3:21" x14ac:dyDescent="0.25">
      <c r="C151" s="46"/>
      <c r="D151" s="23"/>
      <c r="E151" s="23"/>
      <c r="F151" s="23"/>
      <c r="G151" s="23"/>
      <c r="H151" s="23"/>
      <c r="I151" s="23"/>
      <c r="J151" s="23"/>
      <c r="K151" s="23"/>
      <c r="L151" s="23"/>
      <c r="M151" s="23"/>
      <c r="N151" s="23"/>
      <c r="O151" s="23"/>
      <c r="P151" s="23"/>
      <c r="Q151" s="23"/>
      <c r="R151" s="23"/>
      <c r="S151" s="23"/>
      <c r="T151" s="23"/>
      <c r="U151" s="48"/>
    </row>
    <row r="152" spans="3:21" x14ac:dyDescent="0.25">
      <c r="C152" s="46"/>
      <c r="D152" s="23"/>
      <c r="E152" s="23"/>
      <c r="F152" s="23"/>
      <c r="G152" s="23"/>
      <c r="H152" s="23"/>
      <c r="I152" s="23"/>
      <c r="J152" s="23"/>
      <c r="K152" s="23"/>
      <c r="L152" s="23"/>
      <c r="M152" s="23"/>
      <c r="N152" s="23"/>
      <c r="O152" s="23"/>
      <c r="P152" s="23"/>
      <c r="Q152" s="23"/>
      <c r="R152" s="23"/>
      <c r="S152" s="23"/>
      <c r="T152" s="23"/>
      <c r="U152" s="48"/>
    </row>
    <row r="153" spans="3:21" x14ac:dyDescent="0.25">
      <c r="C153" s="46"/>
      <c r="D153" s="23"/>
      <c r="E153" s="23"/>
      <c r="F153" s="23"/>
      <c r="G153" s="23"/>
      <c r="H153" s="23"/>
      <c r="I153" s="23"/>
      <c r="J153" s="23"/>
      <c r="K153" s="23"/>
      <c r="L153" s="23"/>
      <c r="M153" s="23"/>
      <c r="N153" s="23"/>
      <c r="O153" s="23"/>
      <c r="P153" s="23"/>
      <c r="Q153" s="23"/>
      <c r="R153" s="23"/>
      <c r="S153" s="23"/>
      <c r="T153" s="23"/>
      <c r="U153" s="48"/>
    </row>
    <row r="154" spans="3:21" x14ac:dyDescent="0.25">
      <c r="C154" s="46"/>
      <c r="D154" s="23"/>
      <c r="E154" s="23"/>
      <c r="F154" s="23"/>
      <c r="G154" s="23"/>
      <c r="H154" s="23"/>
      <c r="I154" s="23"/>
      <c r="J154" s="23"/>
      <c r="K154" s="23"/>
      <c r="L154" s="23"/>
      <c r="M154" s="23"/>
      <c r="N154" s="23"/>
      <c r="O154" s="23"/>
      <c r="P154" s="23"/>
      <c r="Q154" s="23"/>
      <c r="R154" s="23"/>
      <c r="S154" s="23"/>
      <c r="T154" s="23"/>
      <c r="U154" s="48"/>
    </row>
    <row r="155" spans="3:21" x14ac:dyDescent="0.25">
      <c r="C155" s="46"/>
      <c r="D155" s="23"/>
      <c r="E155" s="23"/>
      <c r="F155" s="23"/>
      <c r="G155" s="23"/>
      <c r="H155" s="23"/>
      <c r="I155" s="23"/>
      <c r="J155" s="23"/>
      <c r="K155" s="23"/>
      <c r="L155" s="23"/>
      <c r="M155" s="23"/>
      <c r="N155" s="23"/>
      <c r="O155" s="23"/>
      <c r="P155" s="23"/>
      <c r="Q155" s="23"/>
      <c r="R155" s="23"/>
      <c r="S155" s="23"/>
      <c r="T155" s="23"/>
      <c r="U155" s="48"/>
    </row>
    <row r="156" spans="3:21" ht="18.75" x14ac:dyDescent="0.3">
      <c r="C156" s="46"/>
      <c r="D156" s="23"/>
      <c r="E156" s="23"/>
      <c r="F156" s="47" t="s">
        <v>237</v>
      </c>
      <c r="G156" s="23"/>
      <c r="H156" s="23"/>
      <c r="I156" s="23"/>
      <c r="J156" s="23"/>
      <c r="K156" s="23"/>
      <c r="L156" s="23"/>
      <c r="M156" s="23"/>
      <c r="N156" s="23"/>
      <c r="O156" s="23"/>
      <c r="P156" s="23"/>
      <c r="Q156" s="23"/>
      <c r="R156" s="23"/>
      <c r="S156" s="23"/>
      <c r="T156" s="23"/>
      <c r="U156" s="48"/>
    </row>
    <row r="157" spans="3:21" x14ac:dyDescent="0.25">
      <c r="C157" s="46"/>
      <c r="D157" s="23"/>
      <c r="E157" s="23"/>
      <c r="F157" s="23" t="s">
        <v>236</v>
      </c>
      <c r="G157" s="23"/>
      <c r="H157" s="23"/>
      <c r="I157" s="23"/>
      <c r="J157" s="23"/>
      <c r="K157" s="23"/>
      <c r="L157" s="23"/>
      <c r="M157" s="23"/>
      <c r="N157" s="23"/>
      <c r="O157" s="23"/>
      <c r="P157" s="23"/>
      <c r="Q157" s="23"/>
      <c r="R157" s="23"/>
      <c r="S157" s="23"/>
      <c r="T157" s="23"/>
      <c r="U157" s="48"/>
    </row>
    <row r="158" spans="3:21" x14ac:dyDescent="0.25">
      <c r="C158" s="46"/>
      <c r="D158" s="23"/>
      <c r="E158" s="23"/>
      <c r="F158" s="23"/>
      <c r="G158" s="23"/>
      <c r="H158" s="23"/>
      <c r="I158" s="23"/>
      <c r="J158" s="23"/>
      <c r="K158" s="23"/>
      <c r="L158" s="23"/>
      <c r="M158" s="23"/>
      <c r="N158" s="23"/>
      <c r="O158" s="23"/>
      <c r="P158" s="23"/>
      <c r="Q158" s="23"/>
      <c r="R158" s="23"/>
      <c r="S158" s="23"/>
      <c r="T158" s="23"/>
      <c r="U158" s="48"/>
    </row>
    <row r="159" spans="3:21" ht="15.75" x14ac:dyDescent="0.25">
      <c r="C159" s="46"/>
      <c r="D159" s="23"/>
      <c r="E159" s="23"/>
      <c r="F159" s="51" t="s">
        <v>243</v>
      </c>
      <c r="G159" s="23"/>
      <c r="H159" s="23"/>
      <c r="I159" s="23"/>
      <c r="J159" s="23"/>
      <c r="K159" s="23"/>
      <c r="L159" s="23"/>
      <c r="M159" s="23"/>
      <c r="N159" s="23"/>
      <c r="O159" s="23"/>
      <c r="P159" s="23"/>
      <c r="Q159" s="23"/>
      <c r="R159" s="23"/>
      <c r="S159" s="23"/>
      <c r="T159" s="23"/>
      <c r="U159" s="48"/>
    </row>
    <row r="160" spans="3:21" x14ac:dyDescent="0.25">
      <c r="C160" s="46"/>
      <c r="D160" s="23"/>
      <c r="E160" s="23"/>
      <c r="F160" s="23"/>
      <c r="G160" s="23"/>
      <c r="H160" s="23"/>
      <c r="I160" s="23"/>
      <c r="J160" s="23"/>
      <c r="K160" s="23"/>
      <c r="L160" s="23"/>
      <c r="M160" s="23"/>
      <c r="N160" s="23"/>
      <c r="O160" s="23"/>
      <c r="P160" s="23"/>
      <c r="Q160" s="23"/>
      <c r="R160" s="23"/>
      <c r="S160" s="23"/>
      <c r="T160" s="23"/>
      <c r="U160" s="48"/>
    </row>
    <row r="161" spans="3:21" x14ac:dyDescent="0.25">
      <c r="C161" s="46"/>
      <c r="D161" s="23"/>
      <c r="E161" s="23"/>
      <c r="F161" s="23"/>
      <c r="G161" s="23"/>
      <c r="H161" s="23"/>
      <c r="I161" s="23"/>
      <c r="J161" s="23"/>
      <c r="K161" s="23"/>
      <c r="L161" s="23"/>
      <c r="M161" s="23"/>
      <c r="N161" s="23"/>
      <c r="O161" s="23"/>
      <c r="P161" s="23"/>
      <c r="Q161" s="23"/>
      <c r="R161" s="23"/>
      <c r="S161" s="23"/>
      <c r="T161" s="23"/>
      <c r="U161" s="48"/>
    </row>
    <row r="162" spans="3:21" x14ac:dyDescent="0.25">
      <c r="C162" s="46"/>
      <c r="D162" s="23"/>
      <c r="E162" s="23"/>
      <c r="F162" s="23"/>
      <c r="G162" s="23"/>
      <c r="H162" s="23"/>
      <c r="I162" s="23"/>
      <c r="J162" s="23"/>
      <c r="K162" s="23"/>
      <c r="L162" s="23"/>
      <c r="M162" s="23"/>
      <c r="N162" s="23"/>
      <c r="O162" s="23"/>
      <c r="P162" s="23"/>
      <c r="Q162" s="23"/>
      <c r="R162" s="23"/>
      <c r="S162" s="23"/>
      <c r="T162" s="23"/>
      <c r="U162" s="48"/>
    </row>
    <row r="163" spans="3:21" x14ac:dyDescent="0.25">
      <c r="C163" s="46"/>
      <c r="D163" s="23"/>
      <c r="E163" s="23"/>
      <c r="F163" s="23"/>
      <c r="G163" s="23"/>
      <c r="H163" s="23"/>
      <c r="I163" s="23"/>
      <c r="J163" s="23"/>
      <c r="K163" s="23"/>
      <c r="L163" s="23"/>
      <c r="M163" s="23"/>
      <c r="N163" s="23"/>
      <c r="O163" s="23"/>
      <c r="P163" s="23"/>
      <c r="Q163" s="23"/>
      <c r="R163" s="23"/>
      <c r="S163" s="23"/>
      <c r="T163" s="23"/>
      <c r="U163" s="48"/>
    </row>
    <row r="164" spans="3:21" x14ac:dyDescent="0.25">
      <c r="C164" s="46"/>
      <c r="D164" s="23"/>
      <c r="E164" s="23"/>
      <c r="F164" s="23"/>
      <c r="G164" s="23"/>
      <c r="H164" s="23"/>
      <c r="I164" s="23"/>
      <c r="J164" s="23"/>
      <c r="K164" s="23"/>
      <c r="L164" s="23"/>
      <c r="M164" s="23"/>
      <c r="N164" s="23"/>
      <c r="O164" s="23"/>
      <c r="P164" s="23"/>
      <c r="Q164" s="23"/>
      <c r="R164" s="23"/>
      <c r="S164" s="23"/>
      <c r="T164" s="23"/>
      <c r="U164" s="48"/>
    </row>
    <row r="165" spans="3:21" x14ac:dyDescent="0.25">
      <c r="C165" s="46"/>
      <c r="D165" s="23"/>
      <c r="E165" s="23"/>
      <c r="F165" s="23"/>
      <c r="G165" s="23"/>
      <c r="H165" s="23"/>
      <c r="I165" s="23"/>
      <c r="J165" s="23"/>
      <c r="K165" s="23"/>
      <c r="L165" s="23"/>
      <c r="M165" s="23"/>
      <c r="N165" s="23"/>
      <c r="O165" s="23"/>
      <c r="P165" s="23"/>
      <c r="Q165" s="23"/>
      <c r="R165" s="23"/>
      <c r="S165" s="23"/>
      <c r="T165" s="23"/>
      <c r="U165" s="48"/>
    </row>
    <row r="166" spans="3:21" x14ac:dyDescent="0.25">
      <c r="C166" s="46"/>
      <c r="D166" s="23"/>
      <c r="E166" s="23"/>
      <c r="F166" s="23"/>
      <c r="G166" s="23"/>
      <c r="H166" s="23"/>
      <c r="I166" s="23"/>
      <c r="J166" s="23"/>
      <c r="K166" s="23"/>
      <c r="L166" s="23"/>
      <c r="M166" s="23"/>
      <c r="N166" s="23"/>
      <c r="O166" s="23"/>
      <c r="P166" s="23"/>
      <c r="Q166" s="23"/>
      <c r="R166" s="23"/>
      <c r="S166" s="23"/>
      <c r="T166" s="23"/>
      <c r="U166" s="48"/>
    </row>
    <row r="167" spans="3:21" x14ac:dyDescent="0.25">
      <c r="C167" s="46"/>
      <c r="D167" s="23"/>
      <c r="E167" s="23"/>
      <c r="F167" s="23"/>
      <c r="G167" s="23"/>
      <c r="H167" s="23"/>
      <c r="I167" s="23"/>
      <c r="J167" s="23"/>
      <c r="K167" s="23"/>
      <c r="L167" s="23"/>
      <c r="M167" s="23"/>
      <c r="N167" s="23"/>
      <c r="O167" s="23"/>
      <c r="P167" s="23"/>
      <c r="Q167" s="23"/>
      <c r="R167" s="23"/>
      <c r="S167" s="23"/>
      <c r="T167" s="23"/>
      <c r="U167" s="48"/>
    </row>
    <row r="168" spans="3:21" x14ac:dyDescent="0.25">
      <c r="C168" s="46"/>
      <c r="D168" s="23"/>
      <c r="E168" s="23"/>
      <c r="F168" s="23"/>
      <c r="G168" s="23"/>
      <c r="H168" s="23"/>
      <c r="I168" s="23"/>
      <c r="J168" s="23"/>
      <c r="K168" s="23"/>
      <c r="L168" s="23"/>
      <c r="M168" s="23"/>
      <c r="N168" s="23"/>
      <c r="O168" s="23"/>
      <c r="P168" s="23"/>
      <c r="Q168" s="23"/>
      <c r="R168" s="23"/>
      <c r="S168" s="23"/>
      <c r="T168" s="23"/>
      <c r="U168" s="48"/>
    </row>
    <row r="169" spans="3:21" x14ac:dyDescent="0.25">
      <c r="C169" s="46"/>
      <c r="D169" s="23"/>
      <c r="E169" s="23"/>
      <c r="F169" s="23"/>
      <c r="G169" s="23"/>
      <c r="H169" s="23"/>
      <c r="I169" s="23"/>
      <c r="J169" s="23"/>
      <c r="K169" s="23"/>
      <c r="L169" s="23"/>
      <c r="M169" s="23"/>
      <c r="N169" s="23"/>
      <c r="O169" s="23"/>
      <c r="P169" s="23"/>
      <c r="Q169" s="23"/>
      <c r="R169" s="23"/>
      <c r="S169" s="23"/>
      <c r="T169" s="23"/>
      <c r="U169" s="48"/>
    </row>
    <row r="170" spans="3:21" x14ac:dyDescent="0.25">
      <c r="C170" s="46"/>
      <c r="D170" s="23"/>
      <c r="E170" s="23"/>
      <c r="F170" s="23"/>
      <c r="G170" s="23"/>
      <c r="H170" s="23"/>
      <c r="I170" s="23"/>
      <c r="J170" s="23"/>
      <c r="K170" s="23"/>
      <c r="L170" s="23"/>
      <c r="M170" s="23"/>
      <c r="N170" s="23"/>
      <c r="O170" s="23"/>
      <c r="P170" s="23"/>
      <c r="Q170" s="23"/>
      <c r="R170" s="23"/>
      <c r="S170" s="23"/>
      <c r="T170" s="23"/>
      <c r="U170" s="48"/>
    </row>
    <row r="171" spans="3:21" x14ac:dyDescent="0.25">
      <c r="C171" s="46"/>
      <c r="D171" s="23"/>
      <c r="E171" s="23"/>
      <c r="F171" s="23"/>
      <c r="G171" s="23"/>
      <c r="H171" s="23"/>
      <c r="I171" s="23"/>
      <c r="J171" s="23"/>
      <c r="K171" s="23"/>
      <c r="L171" s="23"/>
      <c r="M171" s="23"/>
      <c r="N171" s="23"/>
      <c r="O171" s="23"/>
      <c r="P171" s="23"/>
      <c r="Q171" s="23"/>
      <c r="R171" s="23"/>
      <c r="S171" s="23"/>
      <c r="T171" s="23"/>
      <c r="U171" s="48"/>
    </row>
    <row r="172" spans="3:21" x14ac:dyDescent="0.25">
      <c r="C172" s="46"/>
      <c r="D172" s="23"/>
      <c r="E172" s="23"/>
      <c r="F172" s="23"/>
      <c r="G172" s="23"/>
      <c r="H172" s="23"/>
      <c r="I172" s="23"/>
      <c r="J172" s="23"/>
      <c r="K172" s="23"/>
      <c r="L172" s="23"/>
      <c r="M172" s="23"/>
      <c r="N172" s="23"/>
      <c r="O172" s="23"/>
      <c r="P172" s="23"/>
      <c r="Q172" s="23"/>
      <c r="R172" s="23"/>
      <c r="S172" s="23"/>
      <c r="T172" s="23"/>
      <c r="U172" s="48"/>
    </row>
    <row r="173" spans="3:21" x14ac:dyDescent="0.25">
      <c r="C173" s="46"/>
      <c r="D173" s="23"/>
      <c r="E173" s="23"/>
      <c r="F173" s="23"/>
      <c r="G173" s="23"/>
      <c r="H173" s="23"/>
      <c r="I173" s="23"/>
      <c r="J173" s="23"/>
      <c r="K173" s="23"/>
      <c r="L173" s="23"/>
      <c r="M173" s="23"/>
      <c r="N173" s="23"/>
      <c r="O173" s="23"/>
      <c r="P173" s="23"/>
      <c r="Q173" s="23"/>
      <c r="R173" s="23"/>
      <c r="S173" s="23"/>
      <c r="T173" s="23"/>
      <c r="U173" s="48"/>
    </row>
    <row r="174" spans="3:21" x14ac:dyDescent="0.25">
      <c r="C174" s="46"/>
      <c r="D174" s="23"/>
      <c r="E174" s="23"/>
      <c r="F174" s="23"/>
      <c r="G174" s="23"/>
      <c r="H174" s="23"/>
      <c r="I174" s="23"/>
      <c r="J174" s="23"/>
      <c r="K174" s="23"/>
      <c r="L174" s="23"/>
      <c r="M174" s="23"/>
      <c r="N174" s="23"/>
      <c r="O174" s="23"/>
      <c r="P174" s="23"/>
      <c r="Q174" s="23"/>
      <c r="R174" s="23"/>
      <c r="S174" s="23"/>
      <c r="T174" s="23"/>
      <c r="U174" s="48"/>
    </row>
    <row r="175" spans="3:21" x14ac:dyDescent="0.25">
      <c r="C175" s="46"/>
      <c r="D175" s="23"/>
      <c r="E175" s="23"/>
      <c r="F175" s="23"/>
      <c r="G175" s="23"/>
      <c r="H175" s="23"/>
      <c r="I175" s="23"/>
      <c r="J175" s="23"/>
      <c r="K175" s="23"/>
      <c r="L175" s="23"/>
      <c r="M175" s="23"/>
      <c r="N175" s="23"/>
      <c r="O175" s="23"/>
      <c r="P175" s="23"/>
      <c r="Q175" s="23"/>
      <c r="R175" s="23"/>
      <c r="S175" s="23"/>
      <c r="T175" s="23"/>
      <c r="U175" s="48"/>
    </row>
    <row r="176" spans="3:21" x14ac:dyDescent="0.25">
      <c r="C176" s="46"/>
      <c r="D176" s="23"/>
      <c r="E176" s="23"/>
      <c r="F176" s="23"/>
      <c r="G176" s="23"/>
      <c r="H176" s="23"/>
      <c r="I176" s="23"/>
      <c r="J176" s="23"/>
      <c r="K176" s="23"/>
      <c r="L176" s="23"/>
      <c r="M176" s="23"/>
      <c r="N176" s="23"/>
      <c r="O176" s="23"/>
      <c r="P176" s="23"/>
      <c r="Q176" s="23"/>
      <c r="R176" s="23"/>
      <c r="S176" s="23"/>
      <c r="T176" s="23"/>
      <c r="U176" s="48"/>
    </row>
    <row r="177" spans="3:21" x14ac:dyDescent="0.25">
      <c r="C177" s="46"/>
      <c r="D177" s="23"/>
      <c r="E177" s="23"/>
      <c r="F177" s="23"/>
      <c r="G177" s="23"/>
      <c r="H177" s="23"/>
      <c r="I177" s="23"/>
      <c r="J177" s="23"/>
      <c r="K177" s="23"/>
      <c r="L177" s="23"/>
      <c r="M177" s="23"/>
      <c r="N177" s="23"/>
      <c r="O177" s="23"/>
      <c r="P177" s="23"/>
      <c r="Q177" s="23"/>
      <c r="R177" s="23"/>
      <c r="S177" s="23"/>
      <c r="T177" s="23"/>
      <c r="U177" s="48"/>
    </row>
    <row r="178" spans="3:21" x14ac:dyDescent="0.25">
      <c r="C178" s="46"/>
      <c r="D178" s="23"/>
      <c r="E178" s="23"/>
      <c r="F178" s="23"/>
      <c r="G178" s="23"/>
      <c r="H178" s="23"/>
      <c r="I178" s="23"/>
      <c r="J178" s="23"/>
      <c r="K178" s="23"/>
      <c r="L178" s="23"/>
      <c r="M178" s="23"/>
      <c r="N178" s="23"/>
      <c r="O178" s="23"/>
      <c r="P178" s="23"/>
      <c r="Q178" s="23"/>
      <c r="R178" s="23"/>
      <c r="S178" s="23"/>
      <c r="T178" s="23"/>
      <c r="U178" s="48"/>
    </row>
    <row r="179" spans="3:21" x14ac:dyDescent="0.25">
      <c r="C179" s="46"/>
      <c r="D179" s="23"/>
      <c r="E179" s="23"/>
      <c r="F179" s="23"/>
      <c r="G179" s="23"/>
      <c r="H179" s="23"/>
      <c r="I179" s="23"/>
      <c r="J179" s="23"/>
      <c r="K179" s="23"/>
      <c r="L179" s="23"/>
      <c r="M179" s="23"/>
      <c r="N179" s="23"/>
      <c r="O179" s="23"/>
      <c r="P179" s="23"/>
      <c r="Q179" s="23"/>
      <c r="R179" s="23"/>
      <c r="S179" s="23"/>
      <c r="T179" s="23"/>
      <c r="U179" s="48"/>
    </row>
    <row r="180" spans="3:21" x14ac:dyDescent="0.25">
      <c r="C180" s="46"/>
      <c r="D180" s="23"/>
      <c r="E180" s="23"/>
      <c r="F180" s="23"/>
      <c r="G180" s="23"/>
      <c r="H180" s="23"/>
      <c r="I180" s="23"/>
      <c r="J180" s="23"/>
      <c r="K180" s="23"/>
      <c r="L180" s="23"/>
      <c r="M180" s="23"/>
      <c r="N180" s="23"/>
      <c r="O180" s="23"/>
      <c r="P180" s="23"/>
      <c r="Q180" s="23"/>
      <c r="R180" s="23"/>
      <c r="S180" s="23"/>
      <c r="T180" s="23"/>
      <c r="U180" s="48"/>
    </row>
    <row r="181" spans="3:21" x14ac:dyDescent="0.25">
      <c r="C181" s="46"/>
      <c r="D181" s="23"/>
      <c r="E181" s="23"/>
      <c r="F181" s="23"/>
      <c r="G181" s="23"/>
      <c r="H181" s="23"/>
      <c r="I181" s="23"/>
      <c r="J181" s="23"/>
      <c r="K181" s="23"/>
      <c r="L181" s="23"/>
      <c r="M181" s="23"/>
      <c r="N181" s="23"/>
      <c r="O181" s="23"/>
      <c r="P181" s="23"/>
      <c r="Q181" s="23"/>
      <c r="R181" s="23"/>
      <c r="S181" s="23"/>
      <c r="T181" s="23"/>
      <c r="U181" s="48"/>
    </row>
    <row r="182" spans="3:21" x14ac:dyDescent="0.25">
      <c r="C182" s="46"/>
      <c r="D182" s="23"/>
      <c r="E182" s="23"/>
      <c r="F182" s="23"/>
      <c r="G182" s="23"/>
      <c r="H182" s="23"/>
      <c r="I182" s="23"/>
      <c r="J182" s="23"/>
      <c r="K182" s="23"/>
      <c r="L182" s="23"/>
      <c r="M182" s="23"/>
      <c r="N182" s="23"/>
      <c r="O182" s="23"/>
      <c r="P182" s="23"/>
      <c r="Q182" s="23"/>
      <c r="R182" s="23"/>
      <c r="S182" s="23"/>
      <c r="T182" s="23"/>
      <c r="U182" s="48"/>
    </row>
    <row r="183" spans="3:21" x14ac:dyDescent="0.25">
      <c r="C183" s="46"/>
      <c r="D183" s="23"/>
      <c r="E183" s="23"/>
      <c r="F183" s="23"/>
      <c r="G183" s="23"/>
      <c r="H183" s="23"/>
      <c r="I183" s="23"/>
      <c r="J183" s="23"/>
      <c r="K183" s="23"/>
      <c r="L183" s="23"/>
      <c r="M183" s="23"/>
      <c r="N183" s="23"/>
      <c r="O183" s="23"/>
      <c r="P183" s="23"/>
      <c r="Q183" s="23"/>
      <c r="R183" s="23"/>
      <c r="S183" s="23"/>
      <c r="T183" s="23"/>
      <c r="U183" s="48"/>
    </row>
    <row r="184" spans="3:21" x14ac:dyDescent="0.25">
      <c r="C184" s="46"/>
      <c r="D184" s="23"/>
      <c r="E184" s="23"/>
      <c r="F184" s="23"/>
      <c r="G184" s="23"/>
      <c r="H184" s="23"/>
      <c r="I184" s="23"/>
      <c r="J184" s="23"/>
      <c r="K184" s="23"/>
      <c r="L184" s="23"/>
      <c r="M184" s="23"/>
      <c r="N184" s="23"/>
      <c r="O184" s="23"/>
      <c r="P184" s="23"/>
      <c r="Q184" s="23"/>
      <c r="R184" s="23"/>
      <c r="S184" s="23"/>
      <c r="T184" s="23"/>
      <c r="U184" s="48"/>
    </row>
    <row r="185" spans="3:21" x14ac:dyDescent="0.25">
      <c r="C185" s="46"/>
      <c r="D185" s="23"/>
      <c r="E185" s="23"/>
      <c r="F185" s="23"/>
      <c r="G185" s="23"/>
      <c r="H185" s="23"/>
      <c r="I185" s="23"/>
      <c r="J185" s="23"/>
      <c r="K185" s="23"/>
      <c r="L185" s="23"/>
      <c r="M185" s="23"/>
      <c r="N185" s="23"/>
      <c r="O185" s="23"/>
      <c r="P185" s="23"/>
      <c r="Q185" s="23"/>
      <c r="R185" s="23"/>
      <c r="S185" s="23"/>
      <c r="T185" s="23"/>
      <c r="U185" s="48"/>
    </row>
    <row r="186" spans="3:21" x14ac:dyDescent="0.25">
      <c r="C186" s="46"/>
      <c r="D186" s="23"/>
      <c r="E186" s="23"/>
      <c r="F186" s="23"/>
      <c r="G186" s="23"/>
      <c r="H186" s="23"/>
      <c r="I186" s="23"/>
      <c r="J186" s="23"/>
      <c r="K186" s="23"/>
      <c r="L186" s="23"/>
      <c r="M186" s="23"/>
      <c r="N186" s="23"/>
      <c r="O186" s="23"/>
      <c r="P186" s="23"/>
      <c r="Q186" s="23"/>
      <c r="R186" s="23"/>
      <c r="S186" s="23"/>
      <c r="T186" s="23"/>
      <c r="U186" s="48"/>
    </row>
    <row r="187" spans="3:21" x14ac:dyDescent="0.25">
      <c r="C187" s="46"/>
      <c r="D187" s="23"/>
      <c r="E187" s="23"/>
      <c r="F187" s="23"/>
      <c r="G187" s="23"/>
      <c r="H187" s="23"/>
      <c r="I187" s="23"/>
      <c r="J187" s="23"/>
      <c r="K187" s="23"/>
      <c r="L187" s="23"/>
      <c r="M187" s="23"/>
      <c r="N187" s="23"/>
      <c r="O187" s="23"/>
      <c r="P187" s="23"/>
      <c r="Q187" s="23"/>
      <c r="R187" s="23"/>
      <c r="S187" s="23"/>
      <c r="T187" s="23"/>
      <c r="U187" s="48"/>
    </row>
    <row r="188" spans="3:21" x14ac:dyDescent="0.25">
      <c r="C188" s="46"/>
      <c r="D188" s="23"/>
      <c r="E188" s="23"/>
      <c r="F188" s="23"/>
      <c r="G188" s="23"/>
      <c r="H188" s="23"/>
      <c r="I188" s="23"/>
      <c r="J188" s="23"/>
      <c r="K188" s="23"/>
      <c r="L188" s="23"/>
      <c r="M188" s="23"/>
      <c r="N188" s="23"/>
      <c r="O188" s="23"/>
      <c r="P188" s="23"/>
      <c r="Q188" s="23"/>
      <c r="R188" s="23"/>
      <c r="S188" s="23"/>
      <c r="T188" s="23"/>
      <c r="U188" s="48"/>
    </row>
    <row r="189" spans="3:21" x14ac:dyDescent="0.25">
      <c r="C189" s="46"/>
      <c r="D189" s="23"/>
      <c r="E189" s="23"/>
      <c r="F189" s="23"/>
      <c r="G189" s="23"/>
      <c r="H189" s="23"/>
      <c r="I189" s="23"/>
      <c r="J189" s="23"/>
      <c r="K189" s="23"/>
      <c r="L189" s="23"/>
      <c r="M189" s="23"/>
      <c r="N189" s="23"/>
      <c r="O189" s="23"/>
      <c r="P189" s="23"/>
      <c r="Q189" s="23"/>
      <c r="R189" s="23"/>
      <c r="S189" s="23"/>
      <c r="T189" s="23"/>
      <c r="U189" s="48"/>
    </row>
    <row r="190" spans="3:21" x14ac:dyDescent="0.25">
      <c r="C190" s="46"/>
      <c r="D190" s="23"/>
      <c r="E190" s="23"/>
      <c r="F190" s="23"/>
      <c r="G190" s="23"/>
      <c r="H190" s="23"/>
      <c r="I190" s="23"/>
      <c r="J190" s="23"/>
      <c r="K190" s="23"/>
      <c r="L190" s="23"/>
      <c r="M190" s="23"/>
      <c r="N190" s="23"/>
      <c r="O190" s="23"/>
      <c r="P190" s="23"/>
      <c r="Q190" s="23"/>
      <c r="R190" s="23"/>
      <c r="S190" s="23"/>
      <c r="T190" s="23"/>
      <c r="U190" s="48"/>
    </row>
    <row r="191" spans="3:21" x14ac:dyDescent="0.25">
      <c r="C191" s="46"/>
      <c r="D191" s="23"/>
      <c r="E191" s="23"/>
      <c r="F191" s="23"/>
      <c r="G191" s="23"/>
      <c r="H191" s="23"/>
      <c r="I191" s="23"/>
      <c r="J191" s="23"/>
      <c r="K191" s="23"/>
      <c r="L191" s="23"/>
      <c r="M191" s="23"/>
      <c r="N191" s="23"/>
      <c r="O191" s="23"/>
      <c r="P191" s="23"/>
      <c r="Q191" s="23"/>
      <c r="R191" s="23"/>
      <c r="S191" s="23"/>
      <c r="T191" s="23"/>
      <c r="U191" s="48"/>
    </row>
    <row r="192" spans="3:21" x14ac:dyDescent="0.25">
      <c r="C192" s="46"/>
      <c r="D192" s="23"/>
      <c r="E192" s="23"/>
      <c r="F192" s="23"/>
      <c r="G192" s="23"/>
      <c r="H192" s="23"/>
      <c r="I192" s="23"/>
      <c r="J192" s="23"/>
      <c r="K192" s="23"/>
      <c r="L192" s="23"/>
      <c r="M192" s="23"/>
      <c r="N192" s="23"/>
      <c r="O192" s="23"/>
      <c r="P192" s="23"/>
      <c r="Q192" s="23"/>
      <c r="R192" s="23"/>
      <c r="S192" s="23"/>
      <c r="T192" s="23"/>
      <c r="U192" s="48"/>
    </row>
    <row r="193" spans="3:21" x14ac:dyDescent="0.25">
      <c r="C193" s="46"/>
      <c r="D193" s="23"/>
      <c r="E193" s="23"/>
      <c r="F193" s="23"/>
      <c r="G193" s="23"/>
      <c r="H193" s="23"/>
      <c r="I193" s="23"/>
      <c r="J193" s="23"/>
      <c r="K193" s="23"/>
      <c r="L193" s="23"/>
      <c r="M193" s="23"/>
      <c r="N193" s="23"/>
      <c r="O193" s="23"/>
      <c r="P193" s="23"/>
      <c r="Q193" s="23"/>
      <c r="R193" s="23"/>
      <c r="S193" s="23"/>
      <c r="T193" s="23"/>
      <c r="U193" s="48"/>
    </row>
    <row r="194" spans="3:21" x14ac:dyDescent="0.25">
      <c r="C194" s="46"/>
      <c r="D194" s="23"/>
      <c r="E194" s="23"/>
      <c r="F194" s="23"/>
      <c r="G194" s="23"/>
      <c r="H194" s="23"/>
      <c r="I194" s="23"/>
      <c r="J194" s="23"/>
      <c r="K194" s="23"/>
      <c r="L194" s="23"/>
      <c r="M194" s="23"/>
      <c r="N194" s="23"/>
      <c r="O194" s="23"/>
      <c r="P194" s="23"/>
      <c r="Q194" s="23"/>
      <c r="R194" s="23"/>
      <c r="S194" s="23"/>
      <c r="T194" s="23"/>
      <c r="U194" s="48"/>
    </row>
    <row r="195" spans="3:21" x14ac:dyDescent="0.25">
      <c r="C195" s="46"/>
      <c r="D195" s="23"/>
      <c r="E195" s="23"/>
      <c r="F195" s="23"/>
      <c r="G195" s="23"/>
      <c r="H195" s="23"/>
      <c r="I195" s="23"/>
      <c r="J195" s="23"/>
      <c r="K195" s="23"/>
      <c r="L195" s="23"/>
      <c r="M195" s="23"/>
      <c r="N195" s="23"/>
      <c r="O195" s="23"/>
      <c r="P195" s="23"/>
      <c r="Q195" s="23"/>
      <c r="R195" s="23"/>
      <c r="S195" s="23"/>
      <c r="T195" s="23"/>
      <c r="U195" s="48"/>
    </row>
    <row r="196" spans="3:21" ht="15.75" x14ac:dyDescent="0.25">
      <c r="C196" s="46"/>
      <c r="D196" s="23"/>
      <c r="E196" s="23"/>
      <c r="F196" s="51" t="s">
        <v>241</v>
      </c>
      <c r="G196" s="23"/>
      <c r="H196" s="23"/>
      <c r="I196" s="23"/>
      <c r="J196" s="23"/>
      <c r="K196" s="23"/>
      <c r="L196" s="23"/>
      <c r="M196" s="23"/>
      <c r="N196" s="23"/>
      <c r="O196" s="23"/>
      <c r="P196" s="23"/>
      <c r="Q196" s="23"/>
      <c r="R196" s="23"/>
      <c r="S196" s="23"/>
      <c r="T196" s="23"/>
      <c r="U196" s="48"/>
    </row>
    <row r="197" spans="3:21" x14ac:dyDescent="0.25">
      <c r="C197" s="46"/>
      <c r="D197" s="23"/>
      <c r="E197" s="23"/>
      <c r="F197" s="23"/>
      <c r="G197" s="23"/>
      <c r="H197" s="23"/>
      <c r="I197" s="23"/>
      <c r="J197" s="23"/>
      <c r="K197" s="23"/>
      <c r="L197" s="23"/>
      <c r="M197" s="23"/>
      <c r="N197" s="23"/>
      <c r="O197" s="23"/>
      <c r="P197" s="23"/>
      <c r="Q197" s="23"/>
      <c r="R197" s="23"/>
      <c r="S197" s="23"/>
      <c r="T197" s="23"/>
      <c r="U197" s="48"/>
    </row>
    <row r="198" spans="3:21" x14ac:dyDescent="0.25">
      <c r="C198" s="46"/>
      <c r="D198" s="23"/>
      <c r="E198" s="23"/>
      <c r="F198" s="23"/>
      <c r="G198" s="23"/>
      <c r="H198" s="23"/>
      <c r="I198" s="23"/>
      <c r="J198" s="23"/>
      <c r="K198" s="23"/>
      <c r="L198" s="23"/>
      <c r="M198" s="23"/>
      <c r="N198" s="23"/>
      <c r="O198" s="23"/>
      <c r="P198" s="23"/>
      <c r="Q198" s="23"/>
      <c r="R198" s="23"/>
      <c r="S198" s="23"/>
      <c r="T198" s="23"/>
      <c r="U198" s="48"/>
    </row>
    <row r="199" spans="3:21" x14ac:dyDescent="0.25">
      <c r="C199" s="46"/>
      <c r="D199" s="23"/>
      <c r="E199" s="23"/>
      <c r="F199" s="23"/>
      <c r="G199" s="23"/>
      <c r="H199" s="23"/>
      <c r="I199" s="23"/>
      <c r="J199" s="23"/>
      <c r="K199" s="23"/>
      <c r="L199" s="23"/>
      <c r="M199" s="23"/>
      <c r="N199" s="23"/>
      <c r="O199" s="23"/>
      <c r="P199" s="23"/>
      <c r="Q199" s="23"/>
      <c r="R199" s="23"/>
      <c r="S199" s="23"/>
      <c r="T199" s="23"/>
      <c r="U199" s="48"/>
    </row>
    <row r="200" spans="3:21" x14ac:dyDescent="0.25">
      <c r="C200" s="46"/>
      <c r="D200" s="23"/>
      <c r="E200" s="23"/>
      <c r="F200" s="23"/>
      <c r="G200" s="23"/>
      <c r="H200" s="23"/>
      <c r="I200" s="23"/>
      <c r="J200" s="23"/>
      <c r="K200" s="23"/>
      <c r="L200" s="23"/>
      <c r="M200" s="23"/>
      <c r="N200" s="23"/>
      <c r="O200" s="23"/>
      <c r="P200" s="23"/>
      <c r="Q200" s="23"/>
      <c r="R200" s="23"/>
      <c r="S200" s="23"/>
      <c r="T200" s="23"/>
      <c r="U200" s="48"/>
    </row>
    <row r="201" spans="3:21" x14ac:dyDescent="0.25">
      <c r="C201" s="46"/>
      <c r="D201" s="23"/>
      <c r="E201" s="23"/>
      <c r="F201" s="23"/>
      <c r="G201" s="23"/>
      <c r="H201" s="23"/>
      <c r="I201" s="23"/>
      <c r="J201" s="23"/>
      <c r="K201" s="23"/>
      <c r="L201" s="23"/>
      <c r="M201" s="23"/>
      <c r="N201" s="23"/>
      <c r="O201" s="23"/>
      <c r="P201" s="23"/>
      <c r="Q201" s="23"/>
      <c r="R201" s="23"/>
      <c r="S201" s="23"/>
      <c r="T201" s="23"/>
      <c r="U201" s="48"/>
    </row>
    <row r="202" spans="3:21" x14ac:dyDescent="0.25">
      <c r="C202" s="46"/>
      <c r="D202" s="23"/>
      <c r="E202" s="23"/>
      <c r="F202" s="23"/>
      <c r="G202" s="23"/>
      <c r="H202" s="23"/>
      <c r="I202" s="23"/>
      <c r="J202" s="23"/>
      <c r="K202" s="23"/>
      <c r="L202" s="23"/>
      <c r="M202" s="23"/>
      <c r="N202" s="23"/>
      <c r="O202" s="23"/>
      <c r="P202" s="23"/>
      <c r="Q202" s="23"/>
      <c r="R202" s="23"/>
      <c r="S202" s="23"/>
      <c r="T202" s="23"/>
      <c r="U202" s="48"/>
    </row>
    <row r="203" spans="3:21" x14ac:dyDescent="0.25">
      <c r="C203" s="46"/>
      <c r="D203" s="23"/>
      <c r="E203" s="23"/>
      <c r="F203" s="23"/>
      <c r="G203" s="23"/>
      <c r="H203" s="23"/>
      <c r="I203" s="23"/>
      <c r="J203" s="23"/>
      <c r="K203" s="23"/>
      <c r="L203" s="23"/>
      <c r="M203" s="23"/>
      <c r="N203" s="23"/>
      <c r="O203" s="23"/>
      <c r="P203" s="23"/>
      <c r="Q203" s="23"/>
      <c r="R203" s="23"/>
      <c r="S203" s="23"/>
      <c r="T203" s="23"/>
      <c r="U203" s="48"/>
    </row>
    <row r="204" spans="3:21" x14ac:dyDescent="0.25">
      <c r="C204" s="46"/>
      <c r="D204" s="23"/>
      <c r="E204" s="23"/>
      <c r="F204" s="23"/>
      <c r="G204" s="23"/>
      <c r="H204" s="23"/>
      <c r="I204" s="23"/>
      <c r="J204" s="23"/>
      <c r="K204" s="23"/>
      <c r="L204" s="23"/>
      <c r="M204" s="23"/>
      <c r="N204" s="23"/>
      <c r="O204" s="23"/>
      <c r="P204" s="23"/>
      <c r="Q204" s="23"/>
      <c r="R204" s="23"/>
      <c r="S204" s="23"/>
      <c r="T204" s="23"/>
      <c r="U204" s="48"/>
    </row>
    <row r="205" spans="3:21" x14ac:dyDescent="0.25">
      <c r="C205" s="46"/>
      <c r="D205" s="23"/>
      <c r="E205" s="23"/>
      <c r="F205" s="23"/>
      <c r="G205" s="23"/>
      <c r="H205" s="23"/>
      <c r="I205" s="23"/>
      <c r="J205" s="23"/>
      <c r="K205" s="23"/>
      <c r="L205" s="23"/>
      <c r="M205" s="23"/>
      <c r="N205" s="23"/>
      <c r="O205" s="23"/>
      <c r="P205" s="23"/>
      <c r="Q205" s="23"/>
      <c r="R205" s="23"/>
      <c r="S205" s="23"/>
      <c r="T205" s="23"/>
      <c r="U205" s="48"/>
    </row>
    <row r="206" spans="3:21" x14ac:dyDescent="0.25">
      <c r="C206" s="46"/>
      <c r="D206" s="23"/>
      <c r="E206" s="23"/>
      <c r="F206" s="23"/>
      <c r="G206" s="23"/>
      <c r="H206" s="23"/>
      <c r="I206" s="23"/>
      <c r="J206" s="23"/>
      <c r="K206" s="23"/>
      <c r="L206" s="23"/>
      <c r="M206" s="23"/>
      <c r="N206" s="23"/>
      <c r="O206" s="23"/>
      <c r="P206" s="23"/>
      <c r="Q206" s="23"/>
      <c r="R206" s="23"/>
      <c r="S206" s="23"/>
      <c r="T206" s="23"/>
      <c r="U206" s="48"/>
    </row>
    <row r="207" spans="3:21" x14ac:dyDescent="0.25">
      <c r="C207" s="46"/>
      <c r="D207" s="23"/>
      <c r="E207" s="23"/>
      <c r="F207" s="23"/>
      <c r="G207" s="23"/>
      <c r="H207" s="23"/>
      <c r="I207" s="23"/>
      <c r="J207" s="23"/>
      <c r="K207" s="23"/>
      <c r="L207" s="23"/>
      <c r="M207" s="23"/>
      <c r="N207" s="23"/>
      <c r="O207" s="23"/>
      <c r="P207" s="23"/>
      <c r="Q207" s="23"/>
      <c r="R207" s="23"/>
      <c r="S207" s="23"/>
      <c r="T207" s="23"/>
      <c r="U207" s="48"/>
    </row>
    <row r="208" spans="3:21" x14ac:dyDescent="0.25">
      <c r="C208" s="46"/>
      <c r="D208" s="23"/>
      <c r="E208" s="23"/>
      <c r="F208" s="23"/>
      <c r="G208" s="23"/>
      <c r="H208" s="23"/>
      <c r="I208" s="23"/>
      <c r="J208" s="23"/>
      <c r="K208" s="23"/>
      <c r="L208" s="23"/>
      <c r="M208" s="23"/>
      <c r="N208" s="23"/>
      <c r="O208" s="23"/>
      <c r="P208" s="23"/>
      <c r="Q208" s="23"/>
      <c r="R208" s="23"/>
      <c r="S208" s="23"/>
      <c r="T208" s="23"/>
      <c r="U208" s="48"/>
    </row>
    <row r="209" spans="3:21" x14ac:dyDescent="0.25">
      <c r="C209" s="46"/>
      <c r="D209" s="23"/>
      <c r="E209" s="23"/>
      <c r="F209" s="23"/>
      <c r="G209" s="23"/>
      <c r="H209" s="23"/>
      <c r="I209" s="23"/>
      <c r="J209" s="23"/>
      <c r="K209" s="23"/>
      <c r="L209" s="23"/>
      <c r="M209" s="23"/>
      <c r="N209" s="23"/>
      <c r="O209" s="23"/>
      <c r="P209" s="23"/>
      <c r="Q209" s="23"/>
      <c r="R209" s="23"/>
      <c r="S209" s="23"/>
      <c r="T209" s="23"/>
      <c r="U209" s="48"/>
    </row>
    <row r="210" spans="3:21" x14ac:dyDescent="0.25">
      <c r="C210" s="46"/>
      <c r="D210" s="23"/>
      <c r="E210" s="23"/>
      <c r="F210" s="23"/>
      <c r="G210" s="23"/>
      <c r="H210" s="23"/>
      <c r="I210" s="23"/>
      <c r="J210" s="23"/>
      <c r="K210" s="23"/>
      <c r="L210" s="23"/>
      <c r="M210" s="23"/>
      <c r="N210" s="23"/>
      <c r="O210" s="23"/>
      <c r="P210" s="23"/>
      <c r="Q210" s="23"/>
      <c r="R210" s="23"/>
      <c r="S210" s="23"/>
      <c r="T210" s="23"/>
      <c r="U210" s="48"/>
    </row>
    <row r="211" spans="3:21" x14ac:dyDescent="0.25">
      <c r="C211" s="46"/>
      <c r="D211" s="23"/>
      <c r="E211" s="23"/>
      <c r="F211" s="23"/>
      <c r="G211" s="23"/>
      <c r="H211" s="23"/>
      <c r="I211" s="23"/>
      <c r="J211" s="23"/>
      <c r="K211" s="23"/>
      <c r="L211" s="23"/>
      <c r="M211" s="23"/>
      <c r="N211" s="23"/>
      <c r="O211" s="23"/>
      <c r="P211" s="23"/>
      <c r="Q211" s="23"/>
      <c r="R211" s="23"/>
      <c r="S211" s="23"/>
      <c r="T211" s="23"/>
      <c r="U211" s="48"/>
    </row>
    <row r="212" spans="3:21" x14ac:dyDescent="0.25">
      <c r="C212" s="46"/>
      <c r="D212" s="23"/>
      <c r="E212" s="23"/>
      <c r="F212" s="23"/>
      <c r="G212" s="23"/>
      <c r="H212" s="23"/>
      <c r="I212" s="23"/>
      <c r="J212" s="23"/>
      <c r="K212" s="23"/>
      <c r="L212" s="23"/>
      <c r="M212" s="23"/>
      <c r="N212" s="23"/>
      <c r="O212" s="23"/>
      <c r="P212" s="23"/>
      <c r="Q212" s="23"/>
      <c r="R212" s="23"/>
      <c r="S212" s="23"/>
      <c r="T212" s="23"/>
      <c r="U212" s="48"/>
    </row>
    <row r="213" spans="3:21" x14ac:dyDescent="0.25">
      <c r="C213" s="46"/>
      <c r="D213" s="23"/>
      <c r="E213" s="23"/>
      <c r="F213" s="23"/>
      <c r="G213" s="23"/>
      <c r="H213" s="23"/>
      <c r="I213" s="23"/>
      <c r="J213" s="23"/>
      <c r="K213" s="23"/>
      <c r="L213" s="23"/>
      <c r="M213" s="23"/>
      <c r="N213" s="23"/>
      <c r="O213" s="23"/>
      <c r="P213" s="23"/>
      <c r="Q213" s="23"/>
      <c r="R213" s="23"/>
      <c r="S213" s="23"/>
      <c r="T213" s="23"/>
      <c r="U213" s="48"/>
    </row>
    <row r="214" spans="3:21" x14ac:dyDescent="0.25">
      <c r="C214" s="46"/>
      <c r="D214" s="23"/>
      <c r="E214" s="23"/>
      <c r="F214" s="23"/>
      <c r="G214" s="23"/>
      <c r="H214" s="23"/>
      <c r="I214" s="23"/>
      <c r="J214" s="23"/>
      <c r="K214" s="23"/>
      <c r="L214" s="23"/>
      <c r="M214" s="23"/>
      <c r="N214" s="23"/>
      <c r="O214" s="23"/>
      <c r="P214" s="23"/>
      <c r="Q214" s="23"/>
      <c r="R214" s="23"/>
      <c r="S214" s="23"/>
      <c r="T214" s="23"/>
      <c r="U214" s="48"/>
    </row>
    <row r="215" spans="3:21" x14ac:dyDescent="0.25">
      <c r="C215" s="46"/>
      <c r="D215" s="23"/>
      <c r="E215" s="23"/>
      <c r="F215" s="23"/>
      <c r="G215" s="23"/>
      <c r="H215" s="23"/>
      <c r="I215" s="23"/>
      <c r="J215" s="23"/>
      <c r="K215" s="23"/>
      <c r="L215" s="23"/>
      <c r="M215" s="23"/>
      <c r="N215" s="23"/>
      <c r="O215" s="23"/>
      <c r="P215" s="23"/>
      <c r="Q215" s="23"/>
      <c r="R215" s="23"/>
      <c r="S215" s="23"/>
      <c r="T215" s="23"/>
      <c r="U215" s="48"/>
    </row>
    <row r="216" spans="3:21" x14ac:dyDescent="0.25">
      <c r="C216" s="46"/>
      <c r="D216" s="23"/>
      <c r="E216" s="23"/>
      <c r="F216" s="23"/>
      <c r="G216" s="23"/>
      <c r="H216" s="23"/>
      <c r="I216" s="23"/>
      <c r="J216" s="23"/>
      <c r="K216" s="23"/>
      <c r="L216" s="23"/>
      <c r="M216" s="23"/>
      <c r="N216" s="23"/>
      <c r="O216" s="23"/>
      <c r="P216" s="23"/>
      <c r="Q216" s="23"/>
      <c r="R216" s="23"/>
      <c r="S216" s="23"/>
      <c r="T216" s="23"/>
      <c r="U216" s="48"/>
    </row>
    <row r="217" spans="3:21" x14ac:dyDescent="0.25">
      <c r="C217" s="46"/>
      <c r="D217" s="23"/>
      <c r="E217" s="23"/>
      <c r="F217" s="23"/>
      <c r="G217" s="23"/>
      <c r="H217" s="23"/>
      <c r="I217" s="23"/>
      <c r="J217" s="23"/>
      <c r="K217" s="23"/>
      <c r="L217" s="23"/>
      <c r="M217" s="23"/>
      <c r="N217" s="23"/>
      <c r="O217" s="23"/>
      <c r="P217" s="23"/>
      <c r="Q217" s="23"/>
      <c r="R217" s="23"/>
      <c r="S217" s="23"/>
      <c r="T217" s="23"/>
      <c r="U217" s="48"/>
    </row>
    <row r="218" spans="3:21" x14ac:dyDescent="0.25">
      <c r="C218" s="46"/>
      <c r="D218" s="23"/>
      <c r="E218" s="23"/>
      <c r="F218" s="23"/>
      <c r="G218" s="23"/>
      <c r="H218" s="23"/>
      <c r="I218" s="23"/>
      <c r="J218" s="23"/>
      <c r="K218" s="23"/>
      <c r="L218" s="23"/>
      <c r="M218" s="23"/>
      <c r="N218" s="23"/>
      <c r="O218" s="23"/>
      <c r="P218" s="23"/>
      <c r="Q218" s="23"/>
      <c r="R218" s="23"/>
      <c r="S218" s="23"/>
      <c r="T218" s="23"/>
      <c r="U218" s="48"/>
    </row>
    <row r="219" spans="3:21" x14ac:dyDescent="0.25">
      <c r="C219" s="46"/>
      <c r="D219" s="23"/>
      <c r="E219" s="23"/>
      <c r="F219" s="23"/>
      <c r="G219" s="23"/>
      <c r="H219" s="23"/>
      <c r="I219" s="23"/>
      <c r="J219" s="23"/>
      <c r="K219" s="23"/>
      <c r="L219" s="23"/>
      <c r="M219" s="23"/>
      <c r="N219" s="23"/>
      <c r="O219" s="23"/>
      <c r="P219" s="23"/>
      <c r="Q219" s="23"/>
      <c r="R219" s="23"/>
      <c r="S219" s="23"/>
      <c r="T219" s="23"/>
      <c r="U219" s="48"/>
    </row>
    <row r="220" spans="3:21" x14ac:dyDescent="0.25">
      <c r="C220" s="46"/>
      <c r="D220" s="23"/>
      <c r="E220" s="23"/>
      <c r="F220" s="23"/>
      <c r="G220" s="23"/>
      <c r="H220" s="23"/>
      <c r="I220" s="23"/>
      <c r="J220" s="23"/>
      <c r="K220" s="23"/>
      <c r="L220" s="23"/>
      <c r="M220" s="23"/>
      <c r="N220" s="23"/>
      <c r="O220" s="23"/>
      <c r="P220" s="23"/>
      <c r="Q220" s="23"/>
      <c r="R220" s="23"/>
      <c r="S220" s="23"/>
      <c r="T220" s="23"/>
      <c r="U220" s="48"/>
    </row>
    <row r="221" spans="3:21" x14ac:dyDescent="0.25">
      <c r="C221" s="46"/>
      <c r="D221" s="23"/>
      <c r="E221" s="23"/>
      <c r="F221" s="23"/>
      <c r="G221" s="23"/>
      <c r="H221" s="23"/>
      <c r="I221" s="23"/>
      <c r="J221" s="23"/>
      <c r="K221" s="23"/>
      <c r="L221" s="23"/>
      <c r="M221" s="23"/>
      <c r="N221" s="23"/>
      <c r="O221" s="23"/>
      <c r="P221" s="23"/>
      <c r="Q221" s="23"/>
      <c r="R221" s="23"/>
      <c r="S221" s="23"/>
      <c r="T221" s="23"/>
      <c r="U221" s="48"/>
    </row>
    <row r="222" spans="3:21" x14ac:dyDescent="0.25">
      <c r="C222" s="46"/>
      <c r="D222" s="23"/>
      <c r="E222" s="23"/>
      <c r="F222" s="23"/>
      <c r="G222" s="23"/>
      <c r="H222" s="23"/>
      <c r="I222" s="23"/>
      <c r="J222" s="23"/>
      <c r="K222" s="23"/>
      <c r="L222" s="23"/>
      <c r="M222" s="23"/>
      <c r="N222" s="23"/>
      <c r="O222" s="23"/>
      <c r="P222" s="23"/>
      <c r="Q222" s="23"/>
      <c r="R222" s="23"/>
      <c r="S222" s="23"/>
      <c r="T222" s="23"/>
      <c r="U222" s="48"/>
    </row>
    <row r="223" spans="3:21" ht="15.75" x14ac:dyDescent="0.25">
      <c r="C223" s="46"/>
      <c r="D223" s="23"/>
      <c r="E223" s="23"/>
      <c r="F223" s="51" t="s">
        <v>244</v>
      </c>
      <c r="G223" s="23"/>
      <c r="H223" s="23"/>
      <c r="I223" s="23"/>
      <c r="J223" s="23"/>
      <c r="K223" s="23"/>
      <c r="L223" s="23"/>
      <c r="M223" s="23"/>
      <c r="N223" s="23"/>
      <c r="O223" s="23"/>
      <c r="P223" s="23"/>
      <c r="Q223" s="23"/>
      <c r="R223" s="23"/>
      <c r="S223" s="23"/>
      <c r="T223" s="23"/>
      <c r="U223" s="48"/>
    </row>
    <row r="224" spans="3:21" x14ac:dyDescent="0.25">
      <c r="C224" s="46"/>
      <c r="D224" s="23"/>
      <c r="E224" s="23"/>
      <c r="F224" s="23"/>
      <c r="G224" s="23"/>
      <c r="H224" s="23"/>
      <c r="I224" s="23"/>
      <c r="J224" s="23"/>
      <c r="K224" s="23"/>
      <c r="L224" s="23"/>
      <c r="M224" s="23"/>
      <c r="N224" s="23"/>
      <c r="O224" s="23"/>
      <c r="P224" s="23"/>
      <c r="Q224" s="23"/>
      <c r="R224" s="23"/>
      <c r="S224" s="23"/>
      <c r="T224" s="23"/>
      <c r="U224" s="48"/>
    </row>
    <row r="225" spans="3:21" x14ac:dyDescent="0.25">
      <c r="C225" s="46"/>
      <c r="D225" s="23"/>
      <c r="E225" s="23"/>
      <c r="F225" s="23"/>
      <c r="G225" s="23"/>
      <c r="H225" s="23"/>
      <c r="I225" s="23"/>
      <c r="J225" s="23"/>
      <c r="K225" s="23"/>
      <c r="L225" s="23"/>
      <c r="M225" s="23"/>
      <c r="N225" s="23"/>
      <c r="O225" s="23"/>
      <c r="P225" s="23"/>
      <c r="Q225" s="23"/>
      <c r="R225" s="23"/>
      <c r="S225" s="23"/>
      <c r="T225" s="23"/>
      <c r="U225" s="48"/>
    </row>
    <row r="226" spans="3:21" x14ac:dyDescent="0.25">
      <c r="C226" s="46"/>
      <c r="D226" s="23"/>
      <c r="E226" s="23"/>
      <c r="F226" s="23"/>
      <c r="G226" s="23"/>
      <c r="H226" s="23"/>
      <c r="I226" s="23"/>
      <c r="J226" s="23"/>
      <c r="K226" s="23"/>
      <c r="L226" s="23"/>
      <c r="M226" s="23"/>
      <c r="N226" s="23"/>
      <c r="O226" s="23"/>
      <c r="P226" s="23"/>
      <c r="Q226" s="23"/>
      <c r="R226" s="23"/>
      <c r="S226" s="23"/>
      <c r="T226" s="23"/>
      <c r="U226" s="48"/>
    </row>
    <row r="227" spans="3:21" x14ac:dyDescent="0.25">
      <c r="C227" s="46"/>
      <c r="D227" s="23"/>
      <c r="E227" s="23"/>
      <c r="F227" s="23"/>
      <c r="G227" s="23"/>
      <c r="H227" s="23"/>
      <c r="I227" s="23"/>
      <c r="J227" s="23"/>
      <c r="K227" s="23"/>
      <c r="L227" s="23"/>
      <c r="M227" s="23"/>
      <c r="N227" s="23"/>
      <c r="O227" s="23"/>
      <c r="P227" s="23"/>
      <c r="Q227" s="23"/>
      <c r="R227" s="23"/>
      <c r="S227" s="23"/>
      <c r="T227" s="23"/>
      <c r="U227" s="48"/>
    </row>
    <row r="228" spans="3:21" x14ac:dyDescent="0.25">
      <c r="C228" s="46"/>
      <c r="D228" s="23"/>
      <c r="E228" s="23"/>
      <c r="F228" s="23"/>
      <c r="G228" s="23"/>
      <c r="H228" s="23"/>
      <c r="I228" s="23"/>
      <c r="J228" s="23"/>
      <c r="K228" s="23"/>
      <c r="L228" s="23"/>
      <c r="M228" s="23"/>
      <c r="N228" s="23"/>
      <c r="O228" s="23"/>
      <c r="P228" s="23"/>
      <c r="Q228" s="23"/>
      <c r="R228" s="23"/>
      <c r="S228" s="23"/>
      <c r="T228" s="23"/>
      <c r="U228" s="48"/>
    </row>
    <row r="229" spans="3:21" x14ac:dyDescent="0.25">
      <c r="C229" s="46"/>
      <c r="D229" s="23"/>
      <c r="E229" s="23"/>
      <c r="F229" s="23"/>
      <c r="G229" s="23"/>
      <c r="H229" s="23"/>
      <c r="I229" s="23"/>
      <c r="J229" s="23"/>
      <c r="K229" s="23"/>
      <c r="L229" s="23"/>
      <c r="M229" s="23"/>
      <c r="N229" s="23"/>
      <c r="O229" s="23"/>
      <c r="P229" s="23"/>
      <c r="Q229" s="23"/>
      <c r="R229" s="23"/>
      <c r="S229" s="23"/>
      <c r="T229" s="23"/>
      <c r="U229" s="48"/>
    </row>
    <row r="230" spans="3:21" x14ac:dyDescent="0.25">
      <c r="C230" s="46"/>
      <c r="D230" s="23"/>
      <c r="E230" s="23"/>
      <c r="F230" s="23"/>
      <c r="G230" s="23"/>
      <c r="H230" s="23"/>
      <c r="I230" s="23"/>
      <c r="J230" s="23"/>
      <c r="K230" s="23"/>
      <c r="L230" s="23"/>
      <c r="M230" s="23"/>
      <c r="N230" s="23"/>
      <c r="O230" s="23"/>
      <c r="P230" s="23"/>
      <c r="Q230" s="23"/>
      <c r="R230" s="23"/>
      <c r="S230" s="23"/>
      <c r="T230" s="23"/>
      <c r="U230" s="48"/>
    </row>
    <row r="231" spans="3:21" x14ac:dyDescent="0.25">
      <c r="C231" s="46"/>
      <c r="D231" s="23"/>
      <c r="E231" s="23"/>
      <c r="F231" s="23"/>
      <c r="G231" s="23"/>
      <c r="H231" s="23"/>
      <c r="I231" s="23"/>
      <c r="J231" s="23"/>
      <c r="K231" s="23"/>
      <c r="L231" s="23"/>
      <c r="M231" s="23"/>
      <c r="N231" s="23"/>
      <c r="O231" s="23"/>
      <c r="P231" s="23"/>
      <c r="Q231" s="23"/>
      <c r="R231" s="23"/>
      <c r="S231" s="23"/>
      <c r="T231" s="23"/>
      <c r="U231" s="48"/>
    </row>
    <row r="232" spans="3:21" x14ac:dyDescent="0.25">
      <c r="C232" s="46"/>
      <c r="D232" s="23"/>
      <c r="E232" s="23"/>
      <c r="F232" s="23"/>
      <c r="G232" s="23"/>
      <c r="H232" s="23"/>
      <c r="I232" s="23"/>
      <c r="J232" s="23"/>
      <c r="K232" s="23"/>
      <c r="L232" s="23"/>
      <c r="M232" s="23"/>
      <c r="N232" s="23"/>
      <c r="O232" s="23"/>
      <c r="P232" s="23"/>
      <c r="Q232" s="23"/>
      <c r="R232" s="23"/>
      <c r="S232" s="23"/>
      <c r="T232" s="23"/>
      <c r="U232" s="48"/>
    </row>
    <row r="233" spans="3:21" x14ac:dyDescent="0.25">
      <c r="C233" s="46"/>
      <c r="D233" s="23"/>
      <c r="E233" s="23"/>
      <c r="F233" s="23"/>
      <c r="G233" s="23"/>
      <c r="H233" s="23"/>
      <c r="I233" s="23"/>
      <c r="J233" s="23"/>
      <c r="K233" s="23"/>
      <c r="L233" s="23"/>
      <c r="M233" s="23"/>
      <c r="N233" s="23"/>
      <c r="O233" s="23"/>
      <c r="P233" s="23"/>
      <c r="Q233" s="23"/>
      <c r="R233" s="23"/>
      <c r="S233" s="23"/>
      <c r="T233" s="23"/>
      <c r="U233" s="48"/>
    </row>
    <row r="234" spans="3:21" x14ac:dyDescent="0.25">
      <c r="C234" s="46"/>
      <c r="D234" s="23"/>
      <c r="E234" s="23"/>
      <c r="F234" s="23"/>
      <c r="G234" s="23"/>
      <c r="H234" s="23"/>
      <c r="I234" s="23"/>
      <c r="J234" s="23"/>
      <c r="K234" s="23"/>
      <c r="L234" s="23"/>
      <c r="M234" s="23"/>
      <c r="N234" s="23"/>
      <c r="O234" s="23"/>
      <c r="P234" s="23"/>
      <c r="Q234" s="23"/>
      <c r="R234" s="23"/>
      <c r="S234" s="23"/>
      <c r="T234" s="23"/>
      <c r="U234" s="48"/>
    </row>
    <row r="235" spans="3:21" x14ac:dyDescent="0.25">
      <c r="C235" s="46"/>
      <c r="D235" s="23"/>
      <c r="E235" s="23"/>
      <c r="F235" s="23"/>
      <c r="G235" s="23"/>
      <c r="H235" s="23"/>
      <c r="I235" s="23"/>
      <c r="J235" s="23"/>
      <c r="K235" s="23"/>
      <c r="L235" s="23"/>
      <c r="M235" s="23"/>
      <c r="N235" s="23"/>
      <c r="O235" s="23"/>
      <c r="P235" s="23"/>
      <c r="Q235" s="23"/>
      <c r="R235" s="23"/>
      <c r="S235" s="23"/>
      <c r="T235" s="23"/>
      <c r="U235" s="48"/>
    </row>
    <row r="236" spans="3:21" x14ac:dyDescent="0.25">
      <c r="C236" s="46"/>
      <c r="D236" s="23"/>
      <c r="E236" s="23"/>
      <c r="F236" s="23"/>
      <c r="G236" s="23"/>
      <c r="H236" s="23"/>
      <c r="I236" s="23"/>
      <c r="J236" s="23"/>
      <c r="K236" s="23"/>
      <c r="L236" s="23"/>
      <c r="M236" s="23"/>
      <c r="N236" s="23"/>
      <c r="O236" s="23"/>
      <c r="P236" s="23"/>
      <c r="Q236" s="23"/>
      <c r="R236" s="23"/>
      <c r="S236" s="23"/>
      <c r="T236" s="23"/>
      <c r="U236" s="48"/>
    </row>
    <row r="237" spans="3:21" x14ac:dyDescent="0.25">
      <c r="C237" s="46"/>
      <c r="D237" s="23"/>
      <c r="E237" s="23"/>
      <c r="F237" s="23"/>
      <c r="G237" s="23"/>
      <c r="H237" s="23"/>
      <c r="I237" s="23"/>
      <c r="J237" s="23"/>
      <c r="K237" s="23"/>
      <c r="L237" s="23"/>
      <c r="M237" s="23"/>
      <c r="N237" s="23"/>
      <c r="O237" s="23"/>
      <c r="P237" s="23"/>
      <c r="Q237" s="23"/>
      <c r="R237" s="23"/>
      <c r="S237" s="23"/>
      <c r="T237" s="23"/>
      <c r="U237" s="48"/>
    </row>
    <row r="238" spans="3:21" x14ac:dyDescent="0.25">
      <c r="C238" s="46"/>
      <c r="D238" s="23"/>
      <c r="E238" s="23"/>
      <c r="F238" s="23"/>
      <c r="G238" s="23"/>
      <c r="H238" s="23"/>
      <c r="I238" s="23"/>
      <c r="J238" s="23"/>
      <c r="K238" s="23"/>
      <c r="L238" s="23"/>
      <c r="M238" s="23"/>
      <c r="N238" s="23"/>
      <c r="O238" s="23"/>
      <c r="P238" s="23"/>
      <c r="Q238" s="23"/>
      <c r="R238" s="23"/>
      <c r="S238" s="23"/>
      <c r="T238" s="23"/>
      <c r="U238" s="48"/>
    </row>
    <row r="239" spans="3:21" x14ac:dyDescent="0.25">
      <c r="C239" s="46"/>
      <c r="D239" s="23"/>
      <c r="E239" s="23"/>
      <c r="F239" s="23"/>
      <c r="G239" s="23"/>
      <c r="H239" s="23"/>
      <c r="I239" s="23"/>
      <c r="J239" s="23"/>
      <c r="K239" s="23"/>
      <c r="L239" s="23"/>
      <c r="M239" s="23"/>
      <c r="N239" s="23"/>
      <c r="O239" s="23"/>
      <c r="P239" s="23"/>
      <c r="Q239" s="23"/>
      <c r="R239" s="23"/>
      <c r="S239" s="23"/>
      <c r="T239" s="23"/>
      <c r="U239" s="48"/>
    </row>
    <row r="240" spans="3:21" x14ac:dyDescent="0.25">
      <c r="C240" s="46"/>
      <c r="D240" s="23"/>
      <c r="E240" s="23"/>
      <c r="F240" s="23"/>
      <c r="G240" s="23"/>
      <c r="H240" s="23"/>
      <c r="I240" s="23"/>
      <c r="J240" s="23"/>
      <c r="K240" s="23"/>
      <c r="L240" s="23"/>
      <c r="M240" s="23"/>
      <c r="N240" s="23"/>
      <c r="O240" s="23"/>
      <c r="P240" s="23"/>
      <c r="Q240" s="23"/>
      <c r="R240" s="23"/>
      <c r="S240" s="23"/>
      <c r="T240" s="23"/>
      <c r="U240" s="48"/>
    </row>
    <row r="241" spans="3:21" x14ac:dyDescent="0.25">
      <c r="C241" s="46"/>
      <c r="D241" s="23"/>
      <c r="E241" s="23"/>
      <c r="F241" s="23"/>
      <c r="G241" s="23"/>
      <c r="H241" s="23"/>
      <c r="I241" s="23"/>
      <c r="J241" s="23"/>
      <c r="K241" s="23"/>
      <c r="L241" s="23"/>
      <c r="M241" s="23"/>
      <c r="N241" s="23"/>
      <c r="O241" s="23"/>
      <c r="P241" s="23"/>
      <c r="Q241" s="23"/>
      <c r="R241" s="23"/>
      <c r="S241" s="23"/>
      <c r="T241" s="23"/>
      <c r="U241" s="48"/>
    </row>
    <row r="242" spans="3:21" x14ac:dyDescent="0.25">
      <c r="C242" s="46"/>
      <c r="D242" s="23"/>
      <c r="E242" s="23"/>
      <c r="F242" s="23"/>
      <c r="G242" s="23"/>
      <c r="H242" s="23"/>
      <c r="I242" s="23"/>
      <c r="J242" s="23"/>
      <c r="K242" s="23"/>
      <c r="L242" s="23"/>
      <c r="M242" s="23"/>
      <c r="N242" s="23"/>
      <c r="O242" s="23"/>
      <c r="P242" s="23"/>
      <c r="Q242" s="23"/>
      <c r="R242" s="23"/>
      <c r="S242" s="23"/>
      <c r="T242" s="23"/>
      <c r="U242" s="48"/>
    </row>
    <row r="243" spans="3:21" x14ac:dyDescent="0.25">
      <c r="C243" s="46"/>
      <c r="D243" s="23"/>
      <c r="E243" s="23"/>
      <c r="F243" s="23"/>
      <c r="G243" s="23"/>
      <c r="H243" s="23"/>
      <c r="I243" s="23"/>
      <c r="J243" s="23"/>
      <c r="K243" s="23"/>
      <c r="L243" s="23"/>
      <c r="M243" s="23"/>
      <c r="N243" s="23"/>
      <c r="O243" s="23"/>
      <c r="P243" s="23"/>
      <c r="Q243" s="23"/>
      <c r="R243" s="23"/>
      <c r="S243" s="23"/>
      <c r="T243" s="23"/>
      <c r="U243" s="48"/>
    </row>
    <row r="244" spans="3:21" x14ac:dyDescent="0.25">
      <c r="C244" s="46"/>
      <c r="D244" s="23"/>
      <c r="E244" s="23"/>
      <c r="F244" s="23"/>
      <c r="G244" s="23"/>
      <c r="H244" s="23"/>
      <c r="I244" s="23"/>
      <c r="J244" s="23"/>
      <c r="K244" s="23"/>
      <c r="L244" s="23"/>
      <c r="M244" s="23"/>
      <c r="N244" s="23"/>
      <c r="O244" s="23"/>
      <c r="P244" s="23"/>
      <c r="Q244" s="23"/>
      <c r="R244" s="23"/>
      <c r="S244" s="23"/>
      <c r="T244" s="23"/>
      <c r="U244" s="48"/>
    </row>
    <row r="245" spans="3:21" x14ac:dyDescent="0.25">
      <c r="C245" s="46"/>
      <c r="D245" s="23"/>
      <c r="E245" s="23"/>
      <c r="F245" s="23"/>
      <c r="G245" s="23"/>
      <c r="H245" s="23"/>
      <c r="I245" s="23"/>
      <c r="J245" s="23"/>
      <c r="K245" s="23"/>
      <c r="L245" s="23"/>
      <c r="M245" s="23"/>
      <c r="N245" s="23"/>
      <c r="O245" s="23"/>
      <c r="P245" s="23"/>
      <c r="Q245" s="23"/>
      <c r="R245" s="23"/>
      <c r="S245" s="23"/>
      <c r="T245" s="23"/>
      <c r="U245" s="48"/>
    </row>
    <row r="246" spans="3:21" x14ac:dyDescent="0.25">
      <c r="C246" s="46"/>
      <c r="D246" s="23"/>
      <c r="E246" s="23"/>
      <c r="F246" s="23"/>
      <c r="G246" s="23"/>
      <c r="H246" s="23"/>
      <c r="I246" s="23"/>
      <c r="J246" s="23"/>
      <c r="K246" s="23"/>
      <c r="L246" s="23"/>
      <c r="M246" s="23"/>
      <c r="N246" s="23"/>
      <c r="O246" s="23"/>
      <c r="P246" s="23"/>
      <c r="Q246" s="23"/>
      <c r="R246" s="23"/>
      <c r="S246" s="23"/>
      <c r="T246" s="23"/>
      <c r="U246" s="48"/>
    </row>
    <row r="247" spans="3:21" x14ac:dyDescent="0.25">
      <c r="C247" s="46"/>
      <c r="D247" s="23"/>
      <c r="E247" s="23"/>
      <c r="F247" s="23"/>
      <c r="G247" s="23"/>
      <c r="H247" s="23"/>
      <c r="I247" s="23"/>
      <c r="J247" s="23"/>
      <c r="K247" s="23"/>
      <c r="L247" s="23"/>
      <c r="M247" s="23"/>
      <c r="N247" s="23"/>
      <c r="O247" s="23"/>
      <c r="P247" s="23"/>
      <c r="Q247" s="23"/>
      <c r="R247" s="23"/>
      <c r="S247" s="23"/>
      <c r="T247" s="23"/>
      <c r="U247" s="48"/>
    </row>
    <row r="248" spans="3:21" x14ac:dyDescent="0.25">
      <c r="C248" s="46"/>
      <c r="D248" s="23"/>
      <c r="E248" s="23"/>
      <c r="F248" s="23"/>
      <c r="G248" s="23"/>
      <c r="H248" s="23"/>
      <c r="I248" s="23"/>
      <c r="J248" s="23"/>
      <c r="K248" s="23"/>
      <c r="L248" s="23"/>
      <c r="M248" s="23"/>
      <c r="N248" s="23"/>
      <c r="O248" s="23"/>
      <c r="P248" s="23"/>
      <c r="Q248" s="23"/>
      <c r="R248" s="23"/>
      <c r="S248" s="23"/>
      <c r="T248" s="23"/>
      <c r="U248" s="48"/>
    </row>
    <row r="249" spans="3:21" x14ac:dyDescent="0.25">
      <c r="C249" s="46"/>
      <c r="D249" s="23"/>
      <c r="E249" s="23"/>
      <c r="F249" s="23"/>
      <c r="G249" s="23"/>
      <c r="H249" s="23"/>
      <c r="I249" s="23"/>
      <c r="J249" s="23"/>
      <c r="K249" s="23"/>
      <c r="L249" s="23"/>
      <c r="M249" s="23"/>
      <c r="N249" s="23"/>
      <c r="O249" s="23"/>
      <c r="P249" s="23"/>
      <c r="Q249" s="23"/>
      <c r="R249" s="23"/>
      <c r="S249" s="23"/>
      <c r="T249" s="23"/>
      <c r="U249" s="48"/>
    </row>
    <row r="250" spans="3:21" x14ac:dyDescent="0.25">
      <c r="C250" s="46"/>
      <c r="D250" s="23"/>
      <c r="E250" s="23"/>
      <c r="F250" s="23"/>
      <c r="G250" s="23"/>
      <c r="H250" s="23"/>
      <c r="I250" s="23"/>
      <c r="J250" s="23"/>
      <c r="K250" s="23"/>
      <c r="L250" s="23"/>
      <c r="M250" s="23"/>
      <c r="N250" s="23"/>
      <c r="O250" s="23"/>
      <c r="P250" s="23"/>
      <c r="Q250" s="23"/>
      <c r="R250" s="23"/>
      <c r="S250" s="23"/>
      <c r="T250" s="23"/>
      <c r="U250" s="48"/>
    </row>
    <row r="251" spans="3:21" ht="15.75" x14ac:dyDescent="0.25">
      <c r="C251" s="46"/>
      <c r="D251" s="23"/>
      <c r="E251" s="23"/>
      <c r="F251" s="51" t="s">
        <v>242</v>
      </c>
      <c r="G251" s="23"/>
      <c r="H251" s="23"/>
      <c r="I251" s="23"/>
      <c r="J251" s="23"/>
      <c r="K251" s="23"/>
      <c r="L251" s="23"/>
      <c r="M251" s="23"/>
      <c r="N251" s="23"/>
      <c r="O251" s="23"/>
      <c r="P251" s="23"/>
      <c r="Q251" s="23"/>
      <c r="R251" s="23"/>
      <c r="S251" s="23"/>
      <c r="T251" s="23"/>
      <c r="U251" s="48"/>
    </row>
    <row r="252" spans="3:21" x14ac:dyDescent="0.25">
      <c r="C252" s="46"/>
      <c r="D252" s="23"/>
      <c r="E252" s="23"/>
      <c r="F252" s="23"/>
      <c r="G252" s="23"/>
      <c r="H252" s="23"/>
      <c r="I252" s="23"/>
      <c r="J252" s="23"/>
      <c r="K252" s="23"/>
      <c r="L252" s="23"/>
      <c r="M252" s="23"/>
      <c r="N252" s="23"/>
      <c r="O252" s="23"/>
      <c r="P252" s="23"/>
      <c r="Q252" s="23"/>
      <c r="R252" s="23"/>
      <c r="S252" s="23"/>
      <c r="T252" s="23"/>
      <c r="U252" s="48"/>
    </row>
    <row r="253" spans="3:21" x14ac:dyDescent="0.25">
      <c r="C253" s="46"/>
      <c r="D253" s="23"/>
      <c r="E253" s="23"/>
      <c r="F253" s="23"/>
      <c r="G253" s="23"/>
      <c r="H253" s="23"/>
      <c r="I253" s="23"/>
      <c r="J253" s="23"/>
      <c r="K253" s="23"/>
      <c r="L253" s="23"/>
      <c r="M253" s="23"/>
      <c r="N253" s="23"/>
      <c r="O253" s="23"/>
      <c r="P253" s="23"/>
      <c r="Q253" s="23"/>
      <c r="R253" s="23"/>
      <c r="S253" s="23"/>
      <c r="T253" s="23"/>
      <c r="U253" s="48"/>
    </row>
    <row r="254" spans="3:21" x14ac:dyDescent="0.25">
      <c r="C254" s="46"/>
      <c r="D254" s="23"/>
      <c r="E254" s="23"/>
      <c r="F254" s="23"/>
      <c r="G254" s="23"/>
      <c r="H254" s="23"/>
      <c r="I254" s="23"/>
      <c r="J254" s="23"/>
      <c r="K254" s="23"/>
      <c r="L254" s="23"/>
      <c r="M254" s="23"/>
      <c r="N254" s="23"/>
      <c r="O254" s="23"/>
      <c r="P254" s="23"/>
      <c r="Q254" s="23"/>
      <c r="R254" s="23"/>
      <c r="S254" s="23"/>
      <c r="T254" s="23"/>
      <c r="U254" s="48"/>
    </row>
    <row r="255" spans="3:21" x14ac:dyDescent="0.25">
      <c r="C255" s="46"/>
      <c r="D255" s="23"/>
      <c r="E255" s="23"/>
      <c r="F255" s="23"/>
      <c r="G255" s="23"/>
      <c r="H255" s="23"/>
      <c r="I255" s="23"/>
      <c r="J255" s="23"/>
      <c r="K255" s="23"/>
      <c r="L255" s="23"/>
      <c r="M255" s="23"/>
      <c r="N255" s="23"/>
      <c r="O255" s="23"/>
      <c r="P255" s="23"/>
      <c r="Q255" s="23"/>
      <c r="R255" s="23"/>
      <c r="S255" s="23"/>
      <c r="T255" s="23"/>
      <c r="U255" s="48"/>
    </row>
    <row r="256" spans="3:21" x14ac:dyDescent="0.25">
      <c r="C256" s="46"/>
      <c r="D256" s="23"/>
      <c r="E256" s="23"/>
      <c r="F256" s="23"/>
      <c r="G256" s="23"/>
      <c r="H256" s="23"/>
      <c r="I256" s="23"/>
      <c r="J256" s="23"/>
      <c r="K256" s="23"/>
      <c r="L256" s="23"/>
      <c r="M256" s="23"/>
      <c r="N256" s="23"/>
      <c r="O256" s="23"/>
      <c r="P256" s="23"/>
      <c r="Q256" s="23"/>
      <c r="R256" s="23"/>
      <c r="S256" s="23"/>
      <c r="T256" s="23"/>
      <c r="U256" s="48"/>
    </row>
    <row r="257" spans="3:21" x14ac:dyDescent="0.25">
      <c r="C257" s="46"/>
      <c r="D257" s="23"/>
      <c r="E257" s="23"/>
      <c r="F257" s="23"/>
      <c r="G257" s="23"/>
      <c r="H257" s="23"/>
      <c r="I257" s="23"/>
      <c r="J257" s="23"/>
      <c r="K257" s="23"/>
      <c r="L257" s="23"/>
      <c r="M257" s="23"/>
      <c r="N257" s="23"/>
      <c r="O257" s="23"/>
      <c r="P257" s="23"/>
      <c r="Q257" s="23"/>
      <c r="R257" s="23"/>
      <c r="S257" s="23"/>
      <c r="T257" s="23"/>
      <c r="U257" s="48"/>
    </row>
    <row r="258" spans="3:21" x14ac:dyDescent="0.25">
      <c r="C258" s="46"/>
      <c r="D258" s="23"/>
      <c r="E258" s="23"/>
      <c r="F258" s="23"/>
      <c r="G258" s="23"/>
      <c r="H258" s="23"/>
      <c r="I258" s="23"/>
      <c r="J258" s="23"/>
      <c r="K258" s="23"/>
      <c r="L258" s="23"/>
      <c r="M258" s="23"/>
      <c r="N258" s="23"/>
      <c r="O258" s="23"/>
      <c r="P258" s="23"/>
      <c r="Q258" s="23"/>
      <c r="R258" s="23"/>
      <c r="S258" s="23"/>
      <c r="T258" s="23"/>
      <c r="U258" s="48"/>
    </row>
    <row r="259" spans="3:21" x14ac:dyDescent="0.25">
      <c r="C259" s="46"/>
      <c r="D259" s="23"/>
      <c r="E259" s="23"/>
      <c r="F259" s="23"/>
      <c r="G259" s="23"/>
      <c r="H259" s="23"/>
      <c r="I259" s="23"/>
      <c r="J259" s="23"/>
      <c r="K259" s="23"/>
      <c r="L259" s="23"/>
      <c r="M259" s="23"/>
      <c r="N259" s="23"/>
      <c r="O259" s="23"/>
      <c r="P259" s="23"/>
      <c r="Q259" s="23"/>
      <c r="R259" s="23"/>
      <c r="S259" s="23"/>
      <c r="T259" s="23"/>
      <c r="U259" s="48"/>
    </row>
    <row r="260" spans="3:21" x14ac:dyDescent="0.25">
      <c r="C260" s="46"/>
      <c r="D260" s="23"/>
      <c r="E260" s="23"/>
      <c r="F260" s="23"/>
      <c r="G260" s="23"/>
      <c r="H260" s="23"/>
      <c r="I260" s="23"/>
      <c r="J260" s="23"/>
      <c r="K260" s="23"/>
      <c r="L260" s="23"/>
      <c r="M260" s="23"/>
      <c r="N260" s="23"/>
      <c r="O260" s="23"/>
      <c r="P260" s="23"/>
      <c r="Q260" s="23"/>
      <c r="R260" s="23"/>
      <c r="S260" s="23"/>
      <c r="T260" s="23"/>
      <c r="U260" s="48"/>
    </row>
    <row r="261" spans="3:21" x14ac:dyDescent="0.25">
      <c r="C261" s="46"/>
      <c r="D261" s="23"/>
      <c r="E261" s="23"/>
      <c r="F261" s="23"/>
      <c r="G261" s="23"/>
      <c r="H261" s="23"/>
      <c r="I261" s="23"/>
      <c r="J261" s="23"/>
      <c r="K261" s="23"/>
      <c r="L261" s="23"/>
      <c r="M261" s="23"/>
      <c r="N261" s="23"/>
      <c r="O261" s="23"/>
      <c r="P261" s="23"/>
      <c r="Q261" s="23"/>
      <c r="R261" s="23"/>
      <c r="S261" s="23"/>
      <c r="T261" s="23"/>
      <c r="U261" s="48"/>
    </row>
    <row r="262" spans="3:21" x14ac:dyDescent="0.25">
      <c r="C262" s="46"/>
      <c r="D262" s="23"/>
      <c r="E262" s="23"/>
      <c r="F262" s="23"/>
      <c r="G262" s="23"/>
      <c r="H262" s="23"/>
      <c r="I262" s="23"/>
      <c r="J262" s="23"/>
      <c r="K262" s="23"/>
      <c r="L262" s="23"/>
      <c r="M262" s="23"/>
      <c r="N262" s="23"/>
      <c r="O262" s="23"/>
      <c r="P262" s="23"/>
      <c r="Q262" s="23"/>
      <c r="R262" s="23"/>
      <c r="S262" s="23"/>
      <c r="T262" s="23"/>
      <c r="U262" s="48"/>
    </row>
    <row r="263" spans="3:21" x14ac:dyDescent="0.25">
      <c r="C263" s="46"/>
      <c r="D263" s="23"/>
      <c r="E263" s="23"/>
      <c r="F263" s="23"/>
      <c r="G263" s="23"/>
      <c r="H263" s="23"/>
      <c r="I263" s="23"/>
      <c r="J263" s="23"/>
      <c r="K263" s="23"/>
      <c r="L263" s="23"/>
      <c r="M263" s="23"/>
      <c r="N263" s="23"/>
      <c r="O263" s="23"/>
      <c r="P263" s="23"/>
      <c r="Q263" s="23"/>
      <c r="R263" s="23"/>
      <c r="S263" s="23"/>
      <c r="T263" s="23"/>
      <c r="U263" s="48"/>
    </row>
    <row r="264" spans="3:21" x14ac:dyDescent="0.25">
      <c r="C264" s="46"/>
      <c r="D264" s="23"/>
      <c r="E264" s="23"/>
      <c r="F264" s="23"/>
      <c r="G264" s="23"/>
      <c r="H264" s="23"/>
      <c r="I264" s="23"/>
      <c r="J264" s="23"/>
      <c r="K264" s="23"/>
      <c r="L264" s="23"/>
      <c r="M264" s="23"/>
      <c r="N264" s="23"/>
      <c r="O264" s="23"/>
      <c r="P264" s="23"/>
      <c r="Q264" s="23"/>
      <c r="R264" s="23"/>
      <c r="S264" s="23"/>
      <c r="T264" s="23"/>
      <c r="U264" s="48"/>
    </row>
    <row r="265" spans="3:21" x14ac:dyDescent="0.25">
      <c r="C265" s="46"/>
      <c r="D265" s="23"/>
      <c r="E265" s="23"/>
      <c r="F265" s="23"/>
      <c r="G265" s="23"/>
      <c r="H265" s="23"/>
      <c r="I265" s="23"/>
      <c r="J265" s="23"/>
      <c r="K265" s="23"/>
      <c r="L265" s="23"/>
      <c r="M265" s="23"/>
      <c r="N265" s="23"/>
      <c r="O265" s="23"/>
      <c r="P265" s="23"/>
      <c r="Q265" s="23"/>
      <c r="R265" s="23"/>
      <c r="S265" s="23"/>
      <c r="T265" s="23"/>
      <c r="U265" s="48"/>
    </row>
    <row r="266" spans="3:21" x14ac:dyDescent="0.25">
      <c r="C266" s="46"/>
      <c r="D266" s="23"/>
      <c r="E266" s="23"/>
      <c r="F266" s="23"/>
      <c r="G266" s="23"/>
      <c r="H266" s="23"/>
      <c r="I266" s="23"/>
      <c r="J266" s="23"/>
      <c r="K266" s="23"/>
      <c r="L266" s="23"/>
      <c r="M266" s="23"/>
      <c r="N266" s="23"/>
      <c r="O266" s="23"/>
      <c r="P266" s="23"/>
      <c r="Q266" s="23"/>
      <c r="R266" s="23"/>
      <c r="S266" s="23"/>
      <c r="T266" s="23"/>
      <c r="U266" s="48"/>
    </row>
    <row r="267" spans="3:21" x14ac:dyDescent="0.25">
      <c r="C267" s="46"/>
      <c r="D267" s="23"/>
      <c r="E267" s="23"/>
      <c r="F267" s="23"/>
      <c r="G267" s="23"/>
      <c r="H267" s="23"/>
      <c r="I267" s="23"/>
      <c r="J267" s="23"/>
      <c r="K267" s="23"/>
      <c r="L267" s="23"/>
      <c r="M267" s="23"/>
      <c r="N267" s="23"/>
      <c r="O267" s="23"/>
      <c r="P267" s="23"/>
      <c r="Q267" s="23"/>
      <c r="R267" s="23"/>
      <c r="S267" s="23"/>
      <c r="T267" s="23"/>
      <c r="U267" s="48"/>
    </row>
    <row r="268" spans="3:21" x14ac:dyDescent="0.25">
      <c r="C268" s="46"/>
      <c r="D268" s="23"/>
      <c r="E268" s="23"/>
      <c r="F268" s="23"/>
      <c r="G268" s="23"/>
      <c r="H268" s="23"/>
      <c r="I268" s="23"/>
      <c r="J268" s="23"/>
      <c r="K268" s="23"/>
      <c r="L268" s="23"/>
      <c r="M268" s="23"/>
      <c r="N268" s="23"/>
      <c r="O268" s="23"/>
      <c r="P268" s="23"/>
      <c r="Q268" s="23"/>
      <c r="R268" s="23"/>
      <c r="S268" s="23"/>
      <c r="T268" s="23"/>
      <c r="U268" s="48"/>
    </row>
    <row r="269" spans="3:21" x14ac:dyDescent="0.25">
      <c r="C269" s="46"/>
      <c r="D269" s="23"/>
      <c r="E269" s="23"/>
      <c r="F269" s="23"/>
      <c r="G269" s="23"/>
      <c r="H269" s="23"/>
      <c r="I269" s="23"/>
      <c r="J269" s="23"/>
      <c r="K269" s="23"/>
      <c r="L269" s="23"/>
      <c r="M269" s="23"/>
      <c r="N269" s="23"/>
      <c r="O269" s="23"/>
      <c r="P269" s="23"/>
      <c r="Q269" s="23"/>
      <c r="R269" s="23"/>
      <c r="S269" s="23"/>
      <c r="T269" s="23"/>
      <c r="U269" s="48"/>
    </row>
    <row r="270" spans="3:21" x14ac:dyDescent="0.25">
      <c r="C270" s="46"/>
      <c r="D270" s="23"/>
      <c r="E270" s="23"/>
      <c r="F270" s="23"/>
      <c r="G270" s="23"/>
      <c r="H270" s="23"/>
      <c r="I270" s="23"/>
      <c r="J270" s="23"/>
      <c r="K270" s="23"/>
      <c r="L270" s="23"/>
      <c r="M270" s="23"/>
      <c r="N270" s="23"/>
      <c r="O270" s="23"/>
      <c r="P270" s="23"/>
      <c r="Q270" s="23"/>
      <c r="R270" s="23"/>
      <c r="S270" s="23"/>
      <c r="T270" s="23"/>
      <c r="U270" s="48"/>
    </row>
    <row r="271" spans="3:21" x14ac:dyDescent="0.25">
      <c r="C271" s="46"/>
      <c r="D271" s="23"/>
      <c r="E271" s="23"/>
      <c r="F271" s="23"/>
      <c r="G271" s="23"/>
      <c r="H271" s="23"/>
      <c r="I271" s="23"/>
      <c r="J271" s="23"/>
      <c r="K271" s="23"/>
      <c r="L271" s="23"/>
      <c r="M271" s="23"/>
      <c r="N271" s="23"/>
      <c r="O271" s="23"/>
      <c r="P271" s="23"/>
      <c r="Q271" s="23"/>
      <c r="R271" s="23"/>
      <c r="S271" s="23"/>
      <c r="T271" s="23"/>
      <c r="U271" s="48"/>
    </row>
    <row r="272" spans="3:21" x14ac:dyDescent="0.25">
      <c r="C272" s="46"/>
      <c r="D272" s="23"/>
      <c r="E272" s="23"/>
      <c r="F272" s="23"/>
      <c r="G272" s="23"/>
      <c r="H272" s="23"/>
      <c r="I272" s="23"/>
      <c r="J272" s="23"/>
      <c r="K272" s="23"/>
      <c r="L272" s="23"/>
      <c r="M272" s="23"/>
      <c r="N272" s="23"/>
      <c r="O272" s="23"/>
      <c r="P272" s="23"/>
      <c r="Q272" s="23"/>
      <c r="R272" s="23"/>
      <c r="S272" s="23"/>
      <c r="T272" s="23"/>
      <c r="U272" s="48"/>
    </row>
    <row r="273" spans="3:21" x14ac:dyDescent="0.25">
      <c r="C273" s="46"/>
      <c r="D273" s="23"/>
      <c r="E273" s="23"/>
      <c r="F273" s="23"/>
      <c r="G273" s="23"/>
      <c r="H273" s="23"/>
      <c r="I273" s="23"/>
      <c r="J273" s="23"/>
      <c r="K273" s="23"/>
      <c r="L273" s="23"/>
      <c r="M273" s="23"/>
      <c r="N273" s="23"/>
      <c r="O273" s="23"/>
      <c r="P273" s="23"/>
      <c r="Q273" s="23"/>
      <c r="R273" s="23"/>
      <c r="S273" s="23"/>
      <c r="T273" s="23"/>
      <c r="U273" s="48"/>
    </row>
    <row r="274" spans="3:21" x14ac:dyDescent="0.25">
      <c r="C274" s="46"/>
      <c r="D274" s="23"/>
      <c r="E274" s="23"/>
      <c r="F274" s="23"/>
      <c r="G274" s="23"/>
      <c r="H274" s="23"/>
      <c r="I274" s="23"/>
      <c r="J274" s="23"/>
      <c r="K274" s="23"/>
      <c r="L274" s="23"/>
      <c r="M274" s="23"/>
      <c r="N274" s="23"/>
      <c r="O274" s="23"/>
      <c r="P274" s="23"/>
      <c r="Q274" s="23"/>
      <c r="R274" s="23"/>
      <c r="S274" s="23"/>
      <c r="T274" s="23"/>
      <c r="U274" s="48"/>
    </row>
    <row r="275" spans="3:21" x14ac:dyDescent="0.25">
      <c r="C275" s="46"/>
      <c r="D275" s="23"/>
      <c r="E275" s="23"/>
      <c r="F275" s="23"/>
      <c r="G275" s="23"/>
      <c r="H275" s="23"/>
      <c r="I275" s="23"/>
      <c r="J275" s="23"/>
      <c r="K275" s="23"/>
      <c r="L275" s="23"/>
      <c r="M275" s="23"/>
      <c r="N275" s="23"/>
      <c r="O275" s="23"/>
      <c r="P275" s="23"/>
      <c r="Q275" s="23"/>
      <c r="R275" s="23"/>
      <c r="S275" s="23"/>
      <c r="T275" s="23"/>
      <c r="U275" s="48"/>
    </row>
    <row r="276" spans="3:21" x14ac:dyDescent="0.25">
      <c r="C276" s="46"/>
      <c r="D276" s="23"/>
      <c r="E276" s="23"/>
      <c r="F276" s="23"/>
      <c r="G276" s="23"/>
      <c r="H276" s="23"/>
      <c r="I276" s="23"/>
      <c r="J276" s="23"/>
      <c r="K276" s="23"/>
      <c r="L276" s="23"/>
      <c r="M276" s="23"/>
      <c r="N276" s="23"/>
      <c r="O276" s="23"/>
      <c r="P276" s="23"/>
      <c r="Q276" s="23"/>
      <c r="R276" s="23"/>
      <c r="S276" s="23"/>
      <c r="T276" s="23"/>
      <c r="U276" s="48"/>
    </row>
    <row r="277" spans="3:21" x14ac:dyDescent="0.25">
      <c r="C277" s="46"/>
      <c r="D277" s="23"/>
      <c r="E277" s="23"/>
      <c r="F277" s="23"/>
      <c r="G277" s="23"/>
      <c r="H277" s="23"/>
      <c r="I277" s="23"/>
      <c r="J277" s="23"/>
      <c r="K277" s="23"/>
      <c r="L277" s="23"/>
      <c r="M277" s="23"/>
      <c r="N277" s="23"/>
      <c r="O277" s="23"/>
      <c r="P277" s="23"/>
      <c r="Q277" s="23"/>
      <c r="R277" s="23"/>
      <c r="S277" s="23"/>
      <c r="T277" s="23"/>
      <c r="U277" s="48"/>
    </row>
    <row r="278" spans="3:21" ht="15.75" x14ac:dyDescent="0.25">
      <c r="C278" s="46"/>
      <c r="D278" s="23"/>
      <c r="E278" s="23"/>
      <c r="F278" s="51" t="s">
        <v>245</v>
      </c>
      <c r="G278" s="23"/>
      <c r="H278" s="23"/>
      <c r="I278" s="23"/>
      <c r="J278" s="23"/>
      <c r="K278" s="23"/>
      <c r="L278" s="23"/>
      <c r="M278" s="23"/>
      <c r="N278" s="23"/>
      <c r="O278" s="23"/>
      <c r="P278" s="23"/>
      <c r="Q278" s="23"/>
      <c r="R278" s="23"/>
      <c r="S278" s="23"/>
      <c r="T278" s="23"/>
      <c r="U278" s="48"/>
    </row>
    <row r="279" spans="3:21" x14ac:dyDescent="0.25">
      <c r="C279" s="46"/>
      <c r="D279" s="23"/>
      <c r="E279" s="23"/>
      <c r="F279" s="23"/>
      <c r="G279" s="23"/>
      <c r="H279" s="23"/>
      <c r="I279" s="23"/>
      <c r="J279" s="23"/>
      <c r="K279" s="23"/>
      <c r="L279" s="23"/>
      <c r="M279" s="23"/>
      <c r="N279" s="23"/>
      <c r="O279" s="23"/>
      <c r="P279" s="23"/>
      <c r="Q279" s="23"/>
      <c r="R279" s="23"/>
      <c r="S279" s="23"/>
      <c r="T279" s="23"/>
      <c r="U279" s="48"/>
    </row>
    <row r="280" spans="3:21" x14ac:dyDescent="0.25">
      <c r="C280" s="46"/>
      <c r="D280" s="23"/>
      <c r="E280" s="23"/>
      <c r="F280" s="23"/>
      <c r="G280" s="23"/>
      <c r="H280" s="23"/>
      <c r="I280" s="23"/>
      <c r="J280" s="23"/>
      <c r="K280" s="23"/>
      <c r="L280" s="23"/>
      <c r="M280" s="23"/>
      <c r="N280" s="23"/>
      <c r="O280" s="23"/>
      <c r="P280" s="23"/>
      <c r="Q280" s="23"/>
      <c r="R280" s="23"/>
      <c r="S280" s="23"/>
      <c r="T280" s="23"/>
      <c r="U280" s="48"/>
    </row>
    <row r="281" spans="3:21" x14ac:dyDescent="0.25">
      <c r="C281" s="46"/>
      <c r="D281" s="23"/>
      <c r="E281" s="23"/>
      <c r="F281" s="23"/>
      <c r="G281" s="23"/>
      <c r="H281" s="23"/>
      <c r="I281" s="23"/>
      <c r="J281" s="23"/>
      <c r="K281" s="23"/>
      <c r="L281" s="23"/>
      <c r="M281" s="23"/>
      <c r="N281" s="23"/>
      <c r="O281" s="23"/>
      <c r="P281" s="23"/>
      <c r="Q281" s="23"/>
      <c r="R281" s="23"/>
      <c r="S281" s="23"/>
      <c r="T281" s="23"/>
      <c r="U281" s="48"/>
    </row>
    <row r="282" spans="3:21" x14ac:dyDescent="0.25">
      <c r="C282" s="46"/>
      <c r="D282" s="23"/>
      <c r="E282" s="23"/>
      <c r="F282" s="23"/>
      <c r="G282" s="23"/>
      <c r="H282" s="23"/>
      <c r="I282" s="23"/>
      <c r="J282" s="23"/>
      <c r="K282" s="23"/>
      <c r="L282" s="23"/>
      <c r="M282" s="23"/>
      <c r="N282" s="23"/>
      <c r="O282" s="23"/>
      <c r="P282" s="23"/>
      <c r="Q282" s="23"/>
      <c r="R282" s="23"/>
      <c r="S282" s="23"/>
      <c r="T282" s="23"/>
      <c r="U282" s="48"/>
    </row>
    <row r="283" spans="3:21" x14ac:dyDescent="0.25">
      <c r="C283" s="46"/>
      <c r="D283" s="23"/>
      <c r="E283" s="23"/>
      <c r="F283" s="23"/>
      <c r="G283" s="23"/>
      <c r="H283" s="23"/>
      <c r="I283" s="23"/>
      <c r="J283" s="23"/>
      <c r="K283" s="23"/>
      <c r="L283" s="23"/>
      <c r="M283" s="23"/>
      <c r="N283" s="23"/>
      <c r="O283" s="23"/>
      <c r="P283" s="23"/>
      <c r="Q283" s="23"/>
      <c r="R283" s="23"/>
      <c r="S283" s="23"/>
      <c r="T283" s="23"/>
      <c r="U283" s="48"/>
    </row>
    <row r="284" spans="3:21" x14ac:dyDescent="0.25">
      <c r="C284" s="46"/>
      <c r="D284" s="23"/>
      <c r="E284" s="23"/>
      <c r="F284" s="23"/>
      <c r="G284" s="23"/>
      <c r="H284" s="23"/>
      <c r="I284" s="23"/>
      <c r="J284" s="23"/>
      <c r="K284" s="23"/>
      <c r="L284" s="23"/>
      <c r="M284" s="23"/>
      <c r="N284" s="23"/>
      <c r="O284" s="23"/>
      <c r="P284" s="23"/>
      <c r="Q284" s="23"/>
      <c r="R284" s="23"/>
      <c r="S284" s="23"/>
      <c r="T284" s="23"/>
      <c r="U284" s="48"/>
    </row>
    <row r="285" spans="3:21" x14ac:dyDescent="0.25">
      <c r="C285" s="46"/>
      <c r="D285" s="23"/>
      <c r="E285" s="23"/>
      <c r="F285" s="23"/>
      <c r="G285" s="23"/>
      <c r="H285" s="23"/>
      <c r="I285" s="23"/>
      <c r="J285" s="23"/>
      <c r="K285" s="23"/>
      <c r="L285" s="23"/>
      <c r="M285" s="23"/>
      <c r="N285" s="23"/>
      <c r="O285" s="23"/>
      <c r="P285" s="23"/>
      <c r="Q285" s="23"/>
      <c r="R285" s="23"/>
      <c r="S285" s="23"/>
      <c r="T285" s="23"/>
      <c r="U285" s="48"/>
    </row>
    <row r="286" spans="3:21" x14ac:dyDescent="0.25">
      <c r="C286" s="46"/>
      <c r="D286" s="23"/>
      <c r="E286" s="23"/>
      <c r="F286" s="23"/>
      <c r="G286" s="23"/>
      <c r="H286" s="23"/>
      <c r="I286" s="23"/>
      <c r="J286" s="23"/>
      <c r="K286" s="23"/>
      <c r="L286" s="23"/>
      <c r="M286" s="23"/>
      <c r="N286" s="23"/>
      <c r="O286" s="23"/>
      <c r="P286" s="23"/>
      <c r="Q286" s="23"/>
      <c r="R286" s="23"/>
      <c r="S286" s="23"/>
      <c r="T286" s="23"/>
      <c r="U286" s="48"/>
    </row>
    <row r="287" spans="3:21" x14ac:dyDescent="0.25">
      <c r="C287" s="46"/>
      <c r="D287" s="23"/>
      <c r="E287" s="23"/>
      <c r="F287" s="23"/>
      <c r="G287" s="23"/>
      <c r="H287" s="23"/>
      <c r="I287" s="23"/>
      <c r="J287" s="23"/>
      <c r="K287" s="23"/>
      <c r="L287" s="23"/>
      <c r="M287" s="23"/>
      <c r="N287" s="23"/>
      <c r="O287" s="23"/>
      <c r="P287" s="23"/>
      <c r="Q287" s="23"/>
      <c r="R287" s="23"/>
      <c r="S287" s="23"/>
      <c r="T287" s="23"/>
      <c r="U287" s="48"/>
    </row>
    <row r="288" spans="3:21" x14ac:dyDescent="0.25">
      <c r="C288" s="46"/>
      <c r="D288" s="23"/>
      <c r="E288" s="23"/>
      <c r="F288" s="23"/>
      <c r="G288" s="23"/>
      <c r="H288" s="23"/>
      <c r="I288" s="23"/>
      <c r="J288" s="23"/>
      <c r="K288" s="23"/>
      <c r="L288" s="23"/>
      <c r="M288" s="23"/>
      <c r="N288" s="23"/>
      <c r="O288" s="23"/>
      <c r="P288" s="23"/>
      <c r="Q288" s="23"/>
      <c r="R288" s="23"/>
      <c r="S288" s="23"/>
      <c r="T288" s="23"/>
      <c r="U288" s="48"/>
    </row>
    <row r="289" spans="3:21" x14ac:dyDescent="0.25">
      <c r="C289" s="46"/>
      <c r="D289" s="23"/>
      <c r="E289" s="23"/>
      <c r="F289" s="23"/>
      <c r="G289" s="23"/>
      <c r="H289" s="23"/>
      <c r="I289" s="23"/>
      <c r="J289" s="23"/>
      <c r="K289" s="23"/>
      <c r="L289" s="23"/>
      <c r="M289" s="23"/>
      <c r="N289" s="23"/>
      <c r="O289" s="23"/>
      <c r="P289" s="23"/>
      <c r="Q289" s="23"/>
      <c r="R289" s="23"/>
      <c r="S289" s="23"/>
      <c r="T289" s="23"/>
      <c r="U289" s="48"/>
    </row>
    <row r="290" spans="3:21" x14ac:dyDescent="0.25">
      <c r="C290" s="46"/>
      <c r="D290" s="23"/>
      <c r="E290" s="23"/>
      <c r="F290" s="23"/>
      <c r="G290" s="23"/>
      <c r="H290" s="23"/>
      <c r="I290" s="23"/>
      <c r="J290" s="23"/>
      <c r="K290" s="23"/>
      <c r="L290" s="23"/>
      <c r="M290" s="23"/>
      <c r="N290" s="23"/>
      <c r="O290" s="23"/>
      <c r="P290" s="23"/>
      <c r="Q290" s="23"/>
      <c r="R290" s="23"/>
      <c r="S290" s="23"/>
      <c r="T290" s="23"/>
      <c r="U290" s="48"/>
    </row>
    <row r="291" spans="3:21" x14ac:dyDescent="0.25">
      <c r="C291" s="46"/>
      <c r="D291" s="23"/>
      <c r="E291" s="23"/>
      <c r="F291" s="23"/>
      <c r="G291" s="23"/>
      <c r="H291" s="23"/>
      <c r="I291" s="23"/>
      <c r="J291" s="23"/>
      <c r="K291" s="23"/>
      <c r="L291" s="23"/>
      <c r="M291" s="23"/>
      <c r="N291" s="23"/>
      <c r="O291" s="23"/>
      <c r="P291" s="23"/>
      <c r="Q291" s="23"/>
      <c r="R291" s="23"/>
      <c r="S291" s="23"/>
      <c r="T291" s="23"/>
      <c r="U291" s="48"/>
    </row>
    <row r="292" spans="3:21" x14ac:dyDescent="0.25">
      <c r="C292" s="46"/>
      <c r="D292" s="23"/>
      <c r="E292" s="23"/>
      <c r="F292" s="23"/>
      <c r="G292" s="23"/>
      <c r="H292" s="23"/>
      <c r="I292" s="23"/>
      <c r="J292" s="23"/>
      <c r="K292" s="23"/>
      <c r="L292" s="23"/>
      <c r="M292" s="23"/>
      <c r="N292" s="23"/>
      <c r="O292" s="23"/>
      <c r="P292" s="23"/>
      <c r="Q292" s="23"/>
      <c r="R292" s="23"/>
      <c r="S292" s="23"/>
      <c r="T292" s="23"/>
      <c r="U292" s="48"/>
    </row>
    <row r="293" spans="3:21" x14ac:dyDescent="0.25">
      <c r="C293" s="46"/>
      <c r="D293" s="23"/>
      <c r="E293" s="23"/>
      <c r="F293" s="23"/>
      <c r="G293" s="23"/>
      <c r="H293" s="23"/>
      <c r="I293" s="23"/>
      <c r="J293" s="23"/>
      <c r="K293" s="23"/>
      <c r="L293" s="23"/>
      <c r="M293" s="23"/>
      <c r="N293" s="23"/>
      <c r="O293" s="23"/>
      <c r="P293" s="23"/>
      <c r="Q293" s="23"/>
      <c r="R293" s="23"/>
      <c r="S293" s="23"/>
      <c r="T293" s="23"/>
      <c r="U293" s="48"/>
    </row>
    <row r="294" spans="3:21" x14ac:dyDescent="0.25">
      <c r="C294" s="46"/>
      <c r="D294" s="23"/>
      <c r="E294" s="23"/>
      <c r="F294" s="23"/>
      <c r="G294" s="23"/>
      <c r="H294" s="23"/>
      <c r="I294" s="23"/>
      <c r="J294" s="23"/>
      <c r="K294" s="23"/>
      <c r="L294" s="23"/>
      <c r="M294" s="23"/>
      <c r="N294" s="23"/>
      <c r="O294" s="23"/>
      <c r="P294" s="23"/>
      <c r="Q294" s="23"/>
      <c r="R294" s="23"/>
      <c r="S294" s="23"/>
      <c r="T294" s="23"/>
      <c r="U294" s="48"/>
    </row>
    <row r="295" spans="3:21" x14ac:dyDescent="0.25">
      <c r="C295" s="46"/>
      <c r="D295" s="23"/>
      <c r="E295" s="23"/>
      <c r="F295" s="23"/>
      <c r="G295" s="23"/>
      <c r="H295" s="23"/>
      <c r="I295" s="23"/>
      <c r="J295" s="23"/>
      <c r="K295" s="23"/>
      <c r="L295" s="23"/>
      <c r="M295" s="23"/>
      <c r="N295" s="23"/>
      <c r="O295" s="23"/>
      <c r="P295" s="23"/>
      <c r="Q295" s="23"/>
      <c r="R295" s="23"/>
      <c r="S295" s="23"/>
      <c r="T295" s="23"/>
      <c r="U295" s="48"/>
    </row>
    <row r="296" spans="3:21" x14ac:dyDescent="0.25">
      <c r="C296" s="46"/>
      <c r="D296" s="23"/>
      <c r="E296" s="23"/>
      <c r="F296" s="23"/>
      <c r="G296" s="23"/>
      <c r="H296" s="23"/>
      <c r="I296" s="23"/>
      <c r="J296" s="23"/>
      <c r="K296" s="23"/>
      <c r="L296" s="23"/>
      <c r="M296" s="23"/>
      <c r="N296" s="23"/>
      <c r="O296" s="23"/>
      <c r="P296" s="23"/>
      <c r="Q296" s="23"/>
      <c r="R296" s="23"/>
      <c r="S296" s="23"/>
      <c r="T296" s="23"/>
      <c r="U296" s="48"/>
    </row>
    <row r="297" spans="3:21" x14ac:dyDescent="0.25">
      <c r="C297" s="46"/>
      <c r="D297" s="23"/>
      <c r="E297" s="23"/>
      <c r="F297" s="23"/>
      <c r="G297" s="23"/>
      <c r="H297" s="23"/>
      <c r="I297" s="23"/>
      <c r="J297" s="23"/>
      <c r="K297" s="23"/>
      <c r="L297" s="23"/>
      <c r="M297" s="23"/>
      <c r="N297" s="23"/>
      <c r="O297" s="23"/>
      <c r="P297" s="23"/>
      <c r="Q297" s="23"/>
      <c r="R297" s="23"/>
      <c r="S297" s="23"/>
      <c r="T297" s="23"/>
      <c r="U297" s="48"/>
    </row>
    <row r="298" spans="3:21" x14ac:dyDescent="0.25">
      <c r="C298" s="46"/>
      <c r="D298" s="23"/>
      <c r="E298" s="23"/>
      <c r="F298" s="23"/>
      <c r="G298" s="23"/>
      <c r="H298" s="23"/>
      <c r="I298" s="23"/>
      <c r="J298" s="23"/>
      <c r="K298" s="23"/>
      <c r="L298" s="23"/>
      <c r="M298" s="23"/>
      <c r="N298" s="23"/>
      <c r="O298" s="23"/>
      <c r="P298" s="23"/>
      <c r="Q298" s="23"/>
      <c r="R298" s="23"/>
      <c r="S298" s="23"/>
      <c r="T298" s="23"/>
      <c r="U298" s="48"/>
    </row>
    <row r="299" spans="3:21" x14ac:dyDescent="0.25">
      <c r="C299" s="46"/>
      <c r="D299" s="23"/>
      <c r="E299" s="23"/>
      <c r="F299" s="23"/>
      <c r="G299" s="23"/>
      <c r="H299" s="23"/>
      <c r="I299" s="23"/>
      <c r="J299" s="23"/>
      <c r="K299" s="23"/>
      <c r="L299" s="23"/>
      <c r="M299" s="23"/>
      <c r="N299" s="23"/>
      <c r="O299" s="23"/>
      <c r="P299" s="23"/>
      <c r="Q299" s="23"/>
      <c r="R299" s="23"/>
      <c r="S299" s="23"/>
      <c r="T299" s="23"/>
      <c r="U299" s="48"/>
    </row>
    <row r="300" spans="3:21" x14ac:dyDescent="0.25">
      <c r="C300" s="46"/>
      <c r="D300" s="23"/>
      <c r="E300" s="23"/>
      <c r="F300" s="23"/>
      <c r="G300" s="23"/>
      <c r="H300" s="23"/>
      <c r="I300" s="23"/>
      <c r="J300" s="23"/>
      <c r="K300" s="23"/>
      <c r="L300" s="23"/>
      <c r="M300" s="23"/>
      <c r="N300" s="23"/>
      <c r="O300" s="23"/>
      <c r="P300" s="23"/>
      <c r="Q300" s="23"/>
      <c r="R300" s="23"/>
      <c r="S300" s="23"/>
      <c r="T300" s="23"/>
      <c r="U300" s="48"/>
    </row>
    <row r="301" spans="3:21" x14ac:dyDescent="0.25">
      <c r="C301" s="46"/>
      <c r="D301" s="23"/>
      <c r="E301" s="23"/>
      <c r="F301" s="23"/>
      <c r="G301" s="23"/>
      <c r="H301" s="23"/>
      <c r="I301" s="23"/>
      <c r="J301" s="23"/>
      <c r="K301" s="23"/>
      <c r="L301" s="23"/>
      <c r="M301" s="23"/>
      <c r="N301" s="23"/>
      <c r="O301" s="23"/>
      <c r="P301" s="23"/>
      <c r="Q301" s="23"/>
      <c r="R301" s="23"/>
      <c r="S301" s="23"/>
      <c r="T301" s="23"/>
      <c r="U301" s="48"/>
    </row>
    <row r="302" spans="3:21" x14ac:dyDescent="0.25">
      <c r="C302" s="46"/>
      <c r="D302" s="23"/>
      <c r="E302" s="23"/>
      <c r="F302" s="23"/>
      <c r="G302" s="23"/>
      <c r="H302" s="23"/>
      <c r="I302" s="23"/>
      <c r="J302" s="23"/>
      <c r="K302" s="23"/>
      <c r="L302" s="23"/>
      <c r="M302" s="23"/>
      <c r="N302" s="23"/>
      <c r="O302" s="23"/>
      <c r="P302" s="23"/>
      <c r="Q302" s="23"/>
      <c r="R302" s="23"/>
      <c r="S302" s="23"/>
      <c r="T302" s="23"/>
      <c r="U302" s="48"/>
    </row>
    <row r="303" spans="3:21" x14ac:dyDescent="0.25">
      <c r="C303" s="46"/>
      <c r="D303" s="23"/>
      <c r="E303" s="23"/>
      <c r="F303" s="23"/>
      <c r="G303" s="23"/>
      <c r="H303" s="23"/>
      <c r="I303" s="23"/>
      <c r="J303" s="23"/>
      <c r="K303" s="23"/>
      <c r="L303" s="23"/>
      <c r="M303" s="23"/>
      <c r="N303" s="23"/>
      <c r="O303" s="23"/>
      <c r="P303" s="23"/>
      <c r="Q303" s="23"/>
      <c r="R303" s="23"/>
      <c r="S303" s="23"/>
      <c r="T303" s="23"/>
      <c r="U303" s="48"/>
    </row>
    <row r="304" spans="3:21" x14ac:dyDescent="0.25">
      <c r="C304" s="46"/>
      <c r="D304" s="23"/>
      <c r="E304" s="23"/>
      <c r="F304" s="23"/>
      <c r="G304" s="23"/>
      <c r="H304" s="23"/>
      <c r="I304" s="23"/>
      <c r="J304" s="23"/>
      <c r="K304" s="23"/>
      <c r="L304" s="23"/>
      <c r="M304" s="23"/>
      <c r="N304" s="23"/>
      <c r="O304" s="23"/>
      <c r="P304" s="23"/>
      <c r="Q304" s="23"/>
      <c r="R304" s="23"/>
      <c r="S304" s="23"/>
      <c r="T304" s="23"/>
      <c r="U304" s="48"/>
    </row>
    <row r="305" spans="3:21" x14ac:dyDescent="0.25">
      <c r="C305" s="46"/>
      <c r="D305" s="23"/>
      <c r="E305" s="23"/>
      <c r="F305" s="23"/>
      <c r="G305" s="23"/>
      <c r="H305" s="23"/>
      <c r="I305" s="23"/>
      <c r="J305" s="23"/>
      <c r="K305" s="23"/>
      <c r="L305" s="23"/>
      <c r="M305" s="23"/>
      <c r="N305" s="23"/>
      <c r="O305" s="23"/>
      <c r="P305" s="23"/>
      <c r="Q305" s="23"/>
      <c r="R305" s="23"/>
      <c r="S305" s="23"/>
      <c r="T305" s="23"/>
      <c r="U305" s="48"/>
    </row>
    <row r="306" spans="3:21" ht="15.75" x14ac:dyDescent="0.25">
      <c r="C306" s="46"/>
      <c r="D306" s="23"/>
      <c r="E306" s="23"/>
      <c r="F306" s="51" t="s">
        <v>246</v>
      </c>
      <c r="G306" s="23"/>
      <c r="H306" s="23"/>
      <c r="I306" s="23"/>
      <c r="J306" s="23"/>
      <c r="K306" s="23"/>
      <c r="L306" s="23"/>
      <c r="M306" s="23"/>
      <c r="N306" s="23"/>
      <c r="O306" s="23"/>
      <c r="P306" s="23"/>
      <c r="Q306" s="23"/>
      <c r="R306" s="23"/>
      <c r="S306" s="23"/>
      <c r="T306" s="23"/>
      <c r="U306" s="48"/>
    </row>
    <row r="307" spans="3:21" x14ac:dyDescent="0.25">
      <c r="C307" s="46"/>
      <c r="D307" s="23"/>
      <c r="E307" s="23"/>
      <c r="F307" s="23"/>
      <c r="G307" s="23"/>
      <c r="H307" s="23"/>
      <c r="I307" s="23"/>
      <c r="J307" s="23"/>
      <c r="K307" s="23"/>
      <c r="L307" s="23"/>
      <c r="M307" s="23"/>
      <c r="N307" s="23"/>
      <c r="O307" s="23"/>
      <c r="P307" s="23"/>
      <c r="Q307" s="23"/>
      <c r="R307" s="23"/>
      <c r="S307" s="23"/>
      <c r="T307" s="23"/>
      <c r="U307" s="48"/>
    </row>
    <row r="308" spans="3:21" x14ac:dyDescent="0.25">
      <c r="C308" s="46"/>
      <c r="D308" s="23"/>
      <c r="E308" s="23"/>
      <c r="F308" s="23"/>
      <c r="G308" s="23"/>
      <c r="H308" s="23"/>
      <c r="I308" s="23"/>
      <c r="J308" s="23"/>
      <c r="K308" s="23"/>
      <c r="L308" s="23"/>
      <c r="M308" s="23"/>
      <c r="N308" s="23"/>
      <c r="O308" s="23"/>
      <c r="P308" s="23"/>
      <c r="Q308" s="23"/>
      <c r="R308" s="23"/>
      <c r="S308" s="23"/>
      <c r="T308" s="23"/>
      <c r="U308" s="48"/>
    </row>
    <row r="309" spans="3:21" x14ac:dyDescent="0.25">
      <c r="C309" s="46"/>
      <c r="D309" s="23"/>
      <c r="E309" s="23"/>
      <c r="F309" s="23"/>
      <c r="G309" s="23"/>
      <c r="H309" s="23"/>
      <c r="I309" s="23"/>
      <c r="J309" s="23"/>
      <c r="K309" s="23"/>
      <c r="L309" s="23"/>
      <c r="M309" s="23"/>
      <c r="N309" s="23"/>
      <c r="O309" s="23"/>
      <c r="P309" s="23"/>
      <c r="Q309" s="23"/>
      <c r="R309" s="23"/>
      <c r="S309" s="23"/>
      <c r="T309" s="23"/>
      <c r="U309" s="48"/>
    </row>
    <row r="310" spans="3:21" x14ac:dyDescent="0.25">
      <c r="C310" s="46"/>
      <c r="D310" s="23"/>
      <c r="E310" s="23"/>
      <c r="F310" s="23"/>
      <c r="G310" s="23"/>
      <c r="H310" s="23"/>
      <c r="I310" s="23"/>
      <c r="J310" s="23"/>
      <c r="K310" s="23"/>
      <c r="L310" s="23"/>
      <c r="M310" s="23"/>
      <c r="N310" s="23"/>
      <c r="O310" s="23"/>
      <c r="P310" s="23"/>
      <c r="Q310" s="23"/>
      <c r="R310" s="23"/>
      <c r="S310" s="23"/>
      <c r="T310" s="23"/>
      <c r="U310" s="48"/>
    </row>
    <row r="311" spans="3:21" x14ac:dyDescent="0.25">
      <c r="C311" s="46"/>
      <c r="D311" s="23"/>
      <c r="E311" s="23"/>
      <c r="F311" s="23"/>
      <c r="G311" s="23"/>
      <c r="H311" s="23"/>
      <c r="I311" s="23"/>
      <c r="J311" s="23"/>
      <c r="K311" s="23"/>
      <c r="L311" s="23"/>
      <c r="M311" s="23"/>
      <c r="N311" s="23"/>
      <c r="O311" s="23"/>
      <c r="P311" s="23"/>
      <c r="Q311" s="23"/>
      <c r="R311" s="23"/>
      <c r="S311" s="23"/>
      <c r="T311" s="23"/>
      <c r="U311" s="48"/>
    </row>
    <row r="312" spans="3:21" x14ac:dyDescent="0.25">
      <c r="C312" s="46"/>
      <c r="D312" s="23"/>
      <c r="E312" s="23"/>
      <c r="F312" s="23"/>
      <c r="G312" s="23"/>
      <c r="H312" s="23"/>
      <c r="I312" s="23"/>
      <c r="J312" s="23"/>
      <c r="K312" s="23"/>
      <c r="L312" s="23"/>
      <c r="M312" s="23"/>
      <c r="N312" s="23"/>
      <c r="O312" s="23"/>
      <c r="P312" s="23"/>
      <c r="Q312" s="23"/>
      <c r="R312" s="23"/>
      <c r="S312" s="23"/>
      <c r="T312" s="23"/>
      <c r="U312" s="48"/>
    </row>
    <row r="313" spans="3:21" x14ac:dyDescent="0.25">
      <c r="C313" s="46"/>
      <c r="D313" s="23"/>
      <c r="E313" s="23"/>
      <c r="F313" s="23"/>
      <c r="G313" s="23"/>
      <c r="H313" s="23"/>
      <c r="I313" s="23"/>
      <c r="J313" s="23"/>
      <c r="K313" s="23"/>
      <c r="L313" s="23"/>
      <c r="M313" s="23"/>
      <c r="N313" s="23"/>
      <c r="O313" s="23"/>
      <c r="P313" s="23"/>
      <c r="Q313" s="23"/>
      <c r="R313" s="23"/>
      <c r="S313" s="23"/>
      <c r="T313" s="23"/>
      <c r="U313" s="48"/>
    </row>
    <row r="314" spans="3:21" x14ac:dyDescent="0.25">
      <c r="C314" s="46"/>
      <c r="D314" s="23"/>
      <c r="E314" s="23"/>
      <c r="F314" s="23"/>
      <c r="G314" s="23"/>
      <c r="H314" s="23"/>
      <c r="I314" s="23"/>
      <c r="J314" s="23"/>
      <c r="K314" s="23"/>
      <c r="L314" s="23"/>
      <c r="M314" s="23"/>
      <c r="N314" s="23"/>
      <c r="O314" s="23"/>
      <c r="P314" s="23"/>
      <c r="Q314" s="23"/>
      <c r="R314" s="23"/>
      <c r="S314" s="23"/>
      <c r="T314" s="23"/>
      <c r="U314" s="48"/>
    </row>
    <row r="315" spans="3:21" x14ac:dyDescent="0.25">
      <c r="C315" s="46"/>
      <c r="D315" s="23"/>
      <c r="E315" s="23"/>
      <c r="F315" s="23"/>
      <c r="G315" s="23"/>
      <c r="H315" s="23"/>
      <c r="I315" s="23"/>
      <c r="J315" s="23"/>
      <c r="K315" s="23"/>
      <c r="L315" s="23"/>
      <c r="M315" s="23"/>
      <c r="N315" s="23"/>
      <c r="O315" s="23"/>
      <c r="P315" s="23"/>
      <c r="Q315" s="23"/>
      <c r="R315" s="23"/>
      <c r="S315" s="23"/>
      <c r="T315" s="23"/>
      <c r="U315" s="48"/>
    </row>
    <row r="316" spans="3:21" x14ac:dyDescent="0.25">
      <c r="C316" s="46"/>
      <c r="D316" s="23"/>
      <c r="E316" s="23"/>
      <c r="F316" s="23"/>
      <c r="G316" s="23"/>
      <c r="H316" s="23"/>
      <c r="I316" s="23"/>
      <c r="J316" s="23"/>
      <c r="K316" s="23"/>
      <c r="L316" s="23"/>
      <c r="M316" s="23"/>
      <c r="N316" s="23"/>
      <c r="O316" s="23"/>
      <c r="P316" s="23"/>
      <c r="Q316" s="23"/>
      <c r="R316" s="23"/>
      <c r="S316" s="23"/>
      <c r="T316" s="23"/>
      <c r="U316" s="48"/>
    </row>
    <row r="317" spans="3:21" x14ac:dyDescent="0.25">
      <c r="C317" s="46"/>
      <c r="D317" s="23"/>
      <c r="E317" s="23"/>
      <c r="F317" s="23"/>
      <c r="G317" s="23"/>
      <c r="H317" s="23"/>
      <c r="I317" s="23"/>
      <c r="J317" s="23"/>
      <c r="K317" s="23"/>
      <c r="L317" s="23"/>
      <c r="M317" s="23"/>
      <c r="N317" s="23"/>
      <c r="O317" s="23"/>
      <c r="P317" s="23"/>
      <c r="Q317" s="23"/>
      <c r="R317" s="23"/>
      <c r="S317" s="23"/>
      <c r="T317" s="23"/>
      <c r="U317" s="48"/>
    </row>
    <row r="318" spans="3:21" x14ac:dyDescent="0.25">
      <c r="C318" s="46"/>
      <c r="D318" s="23"/>
      <c r="E318" s="23"/>
      <c r="F318" s="23"/>
      <c r="G318" s="23"/>
      <c r="H318" s="23"/>
      <c r="I318" s="23"/>
      <c r="J318" s="23"/>
      <c r="K318" s="23"/>
      <c r="L318" s="23"/>
      <c r="M318" s="23"/>
      <c r="N318" s="23"/>
      <c r="O318" s="23"/>
      <c r="P318" s="23"/>
      <c r="Q318" s="23"/>
      <c r="R318" s="23"/>
      <c r="S318" s="23"/>
      <c r="T318" s="23"/>
      <c r="U318" s="48"/>
    </row>
    <row r="319" spans="3:21" x14ac:dyDescent="0.25">
      <c r="C319" s="46"/>
      <c r="D319" s="23"/>
      <c r="E319" s="23"/>
      <c r="F319" s="23"/>
      <c r="G319" s="23"/>
      <c r="H319" s="23"/>
      <c r="I319" s="23"/>
      <c r="J319" s="23"/>
      <c r="K319" s="23"/>
      <c r="L319" s="23"/>
      <c r="M319" s="23"/>
      <c r="N319" s="23"/>
      <c r="O319" s="23"/>
      <c r="P319" s="23"/>
      <c r="Q319" s="23"/>
      <c r="R319" s="23"/>
      <c r="S319" s="23"/>
      <c r="T319" s="23"/>
      <c r="U319" s="48"/>
    </row>
    <row r="320" spans="3:21" x14ac:dyDescent="0.25">
      <c r="C320" s="46"/>
      <c r="D320" s="23"/>
      <c r="E320" s="23"/>
      <c r="F320" s="23"/>
      <c r="G320" s="23"/>
      <c r="H320" s="23"/>
      <c r="I320" s="23"/>
      <c r="J320" s="23"/>
      <c r="K320" s="23"/>
      <c r="L320" s="23"/>
      <c r="M320" s="23"/>
      <c r="N320" s="23"/>
      <c r="O320" s="23"/>
      <c r="P320" s="23"/>
      <c r="Q320" s="23"/>
      <c r="R320" s="23"/>
      <c r="S320" s="23"/>
      <c r="T320" s="23"/>
      <c r="U320" s="48"/>
    </row>
    <row r="321" spans="3:21" x14ac:dyDescent="0.25">
      <c r="C321" s="46"/>
      <c r="D321" s="23"/>
      <c r="E321" s="23"/>
      <c r="F321" s="23"/>
      <c r="G321" s="23"/>
      <c r="H321" s="23"/>
      <c r="I321" s="23"/>
      <c r="J321" s="23"/>
      <c r="K321" s="23"/>
      <c r="L321" s="23"/>
      <c r="M321" s="23"/>
      <c r="N321" s="23"/>
      <c r="O321" s="23"/>
      <c r="P321" s="23"/>
      <c r="Q321" s="23"/>
      <c r="R321" s="23"/>
      <c r="S321" s="23"/>
      <c r="T321" s="23"/>
      <c r="U321" s="48"/>
    </row>
    <row r="322" spans="3:21" x14ac:dyDescent="0.25">
      <c r="C322" s="46"/>
      <c r="D322" s="23"/>
      <c r="E322" s="23"/>
      <c r="F322" s="23"/>
      <c r="G322" s="23"/>
      <c r="H322" s="23"/>
      <c r="I322" s="23"/>
      <c r="J322" s="23"/>
      <c r="K322" s="23"/>
      <c r="L322" s="23"/>
      <c r="M322" s="23"/>
      <c r="N322" s="23"/>
      <c r="O322" s="23"/>
      <c r="P322" s="23"/>
      <c r="Q322" s="23"/>
      <c r="R322" s="23"/>
      <c r="S322" s="23"/>
      <c r="T322" s="23"/>
      <c r="U322" s="48"/>
    </row>
    <row r="323" spans="3:21" x14ac:dyDescent="0.25">
      <c r="C323" s="46"/>
      <c r="D323" s="23"/>
      <c r="E323" s="23"/>
      <c r="F323" s="23"/>
      <c r="G323" s="23"/>
      <c r="H323" s="23"/>
      <c r="I323" s="23"/>
      <c r="J323" s="23"/>
      <c r="K323" s="23"/>
      <c r="L323" s="23"/>
      <c r="M323" s="23"/>
      <c r="N323" s="23"/>
      <c r="O323" s="23"/>
      <c r="P323" s="23"/>
      <c r="Q323" s="23"/>
      <c r="R323" s="23"/>
      <c r="S323" s="23"/>
      <c r="T323" s="23"/>
      <c r="U323" s="48"/>
    </row>
    <row r="324" spans="3:21" x14ac:dyDescent="0.25">
      <c r="C324" s="46"/>
      <c r="D324" s="23"/>
      <c r="E324" s="23"/>
      <c r="F324" s="23"/>
      <c r="G324" s="23"/>
      <c r="H324" s="23"/>
      <c r="I324" s="23"/>
      <c r="J324" s="23"/>
      <c r="K324" s="23"/>
      <c r="L324" s="23"/>
      <c r="M324" s="23"/>
      <c r="N324" s="23"/>
      <c r="O324" s="23"/>
      <c r="P324" s="23"/>
      <c r="Q324" s="23"/>
      <c r="R324" s="23"/>
      <c r="S324" s="23"/>
      <c r="T324" s="23"/>
      <c r="U324" s="48"/>
    </row>
    <row r="325" spans="3:21" x14ac:dyDescent="0.25">
      <c r="C325" s="46"/>
      <c r="D325" s="23"/>
      <c r="E325" s="23"/>
      <c r="F325" s="23"/>
      <c r="G325" s="23"/>
      <c r="H325" s="23"/>
      <c r="I325" s="23"/>
      <c r="J325" s="23"/>
      <c r="K325" s="23"/>
      <c r="L325" s="23"/>
      <c r="M325" s="23"/>
      <c r="N325" s="23"/>
      <c r="O325" s="23"/>
      <c r="P325" s="23"/>
      <c r="Q325" s="23"/>
      <c r="R325" s="23"/>
      <c r="S325" s="23"/>
      <c r="T325" s="23"/>
      <c r="U325" s="48"/>
    </row>
    <row r="326" spans="3:21" x14ac:dyDescent="0.25">
      <c r="C326" s="46"/>
      <c r="D326" s="23"/>
      <c r="E326" s="23"/>
      <c r="F326" s="23"/>
      <c r="G326" s="23"/>
      <c r="H326" s="23"/>
      <c r="I326" s="23"/>
      <c r="J326" s="23"/>
      <c r="K326" s="23"/>
      <c r="L326" s="23"/>
      <c r="M326" s="23"/>
      <c r="N326" s="23"/>
      <c r="O326" s="23"/>
      <c r="P326" s="23"/>
      <c r="Q326" s="23"/>
      <c r="R326" s="23"/>
      <c r="S326" s="23"/>
      <c r="T326" s="23"/>
      <c r="U326" s="48"/>
    </row>
    <row r="327" spans="3:21" x14ac:dyDescent="0.25">
      <c r="C327" s="46"/>
      <c r="D327" s="23"/>
      <c r="E327" s="23"/>
      <c r="F327" s="23"/>
      <c r="G327" s="23"/>
      <c r="H327" s="23"/>
      <c r="I327" s="23"/>
      <c r="J327" s="23"/>
      <c r="K327" s="23"/>
      <c r="L327" s="23"/>
      <c r="M327" s="23"/>
      <c r="N327" s="23"/>
      <c r="O327" s="23"/>
      <c r="P327" s="23"/>
      <c r="Q327" s="23"/>
      <c r="R327" s="23"/>
      <c r="S327" s="23"/>
      <c r="T327" s="23"/>
      <c r="U327" s="48"/>
    </row>
    <row r="328" spans="3:21" x14ac:dyDescent="0.25">
      <c r="C328" s="46"/>
      <c r="D328" s="23"/>
      <c r="E328" s="23"/>
      <c r="F328" s="23"/>
      <c r="G328" s="23"/>
      <c r="H328" s="23"/>
      <c r="I328" s="23"/>
      <c r="J328" s="23"/>
      <c r="K328" s="23"/>
      <c r="L328" s="23"/>
      <c r="M328" s="23"/>
      <c r="N328" s="23"/>
      <c r="O328" s="23"/>
      <c r="P328" s="23"/>
      <c r="Q328" s="23"/>
      <c r="R328" s="23"/>
      <c r="S328" s="23"/>
      <c r="T328" s="23"/>
      <c r="U328" s="48"/>
    </row>
    <row r="329" spans="3:21" x14ac:dyDescent="0.25">
      <c r="C329" s="46"/>
      <c r="D329" s="23"/>
      <c r="E329" s="23"/>
      <c r="F329" s="23"/>
      <c r="G329" s="23"/>
      <c r="H329" s="23"/>
      <c r="I329" s="23"/>
      <c r="J329" s="23"/>
      <c r="K329" s="23"/>
      <c r="L329" s="23"/>
      <c r="M329" s="23"/>
      <c r="N329" s="23"/>
      <c r="O329" s="23"/>
      <c r="P329" s="23"/>
      <c r="Q329" s="23"/>
      <c r="R329" s="23"/>
      <c r="S329" s="23"/>
      <c r="T329" s="23"/>
      <c r="U329" s="48"/>
    </row>
    <row r="330" spans="3:21" x14ac:dyDescent="0.25">
      <c r="C330" s="46"/>
      <c r="D330" s="23"/>
      <c r="E330" s="23"/>
      <c r="F330" s="23"/>
      <c r="G330" s="23"/>
      <c r="H330" s="23"/>
      <c r="I330" s="23"/>
      <c r="J330" s="23"/>
      <c r="K330" s="23"/>
      <c r="L330" s="23"/>
      <c r="M330" s="23"/>
      <c r="N330" s="23"/>
      <c r="O330" s="23"/>
      <c r="P330" s="23"/>
      <c r="Q330" s="23"/>
      <c r="R330" s="23"/>
      <c r="S330" s="23"/>
      <c r="T330" s="23"/>
      <c r="U330" s="48"/>
    </row>
    <row r="331" spans="3:21" x14ac:dyDescent="0.25">
      <c r="C331" s="46"/>
      <c r="D331" s="23"/>
      <c r="E331" s="23"/>
      <c r="F331" s="23"/>
      <c r="G331" s="23"/>
      <c r="H331" s="23"/>
      <c r="I331" s="23"/>
      <c r="J331" s="23"/>
      <c r="K331" s="23"/>
      <c r="L331" s="23"/>
      <c r="M331" s="23"/>
      <c r="N331" s="23"/>
      <c r="O331" s="23"/>
      <c r="P331" s="23"/>
      <c r="Q331" s="23"/>
      <c r="R331" s="23"/>
      <c r="S331" s="23"/>
      <c r="T331" s="23"/>
      <c r="U331" s="48"/>
    </row>
    <row r="332" spans="3:21" ht="15.75" x14ac:dyDescent="0.25">
      <c r="C332" s="46"/>
      <c r="D332" s="23"/>
      <c r="E332" s="23"/>
      <c r="F332" s="51" t="s">
        <v>247</v>
      </c>
      <c r="G332" s="23"/>
      <c r="H332" s="23"/>
      <c r="I332" s="23"/>
      <c r="J332" s="23"/>
      <c r="K332" s="23"/>
      <c r="L332" s="23"/>
      <c r="M332" s="23"/>
      <c r="N332" s="23"/>
      <c r="O332" s="23"/>
      <c r="P332" s="23"/>
      <c r="Q332" s="23"/>
      <c r="R332" s="23"/>
      <c r="S332" s="23"/>
      <c r="T332" s="23"/>
      <c r="U332" s="48"/>
    </row>
    <row r="333" spans="3:21" x14ac:dyDescent="0.25">
      <c r="C333" s="46"/>
      <c r="D333" s="23"/>
      <c r="E333" s="23"/>
      <c r="F333" s="23"/>
      <c r="G333" s="23"/>
      <c r="H333" s="23"/>
      <c r="I333" s="23"/>
      <c r="J333" s="23"/>
      <c r="K333" s="23"/>
      <c r="L333" s="23"/>
      <c r="M333" s="23"/>
      <c r="N333" s="23"/>
      <c r="O333" s="23"/>
      <c r="P333" s="23"/>
      <c r="Q333" s="23"/>
      <c r="R333" s="23"/>
      <c r="S333" s="23"/>
      <c r="T333" s="23"/>
      <c r="U333" s="48"/>
    </row>
    <row r="334" spans="3:21" x14ac:dyDescent="0.25">
      <c r="C334" s="46"/>
      <c r="D334" s="23"/>
      <c r="E334" s="23"/>
      <c r="F334" s="23"/>
      <c r="G334" s="23"/>
      <c r="H334" s="23"/>
      <c r="I334" s="23"/>
      <c r="J334" s="23"/>
      <c r="K334" s="23"/>
      <c r="L334" s="23"/>
      <c r="M334" s="23"/>
      <c r="N334" s="23"/>
      <c r="O334" s="23"/>
      <c r="P334" s="23"/>
      <c r="Q334" s="23"/>
      <c r="R334" s="23"/>
      <c r="S334" s="23"/>
      <c r="T334" s="23"/>
      <c r="U334" s="48"/>
    </row>
    <row r="335" spans="3:21" x14ac:dyDescent="0.25">
      <c r="C335" s="46"/>
      <c r="D335" s="23"/>
      <c r="E335" s="23"/>
      <c r="F335" s="23"/>
      <c r="G335" s="23"/>
      <c r="H335" s="23"/>
      <c r="I335" s="23"/>
      <c r="J335" s="23"/>
      <c r="K335" s="23"/>
      <c r="L335" s="23"/>
      <c r="M335" s="23"/>
      <c r="N335" s="23"/>
      <c r="O335" s="23"/>
      <c r="P335" s="23"/>
      <c r="Q335" s="23"/>
      <c r="R335" s="23"/>
      <c r="S335" s="23"/>
      <c r="T335" s="23"/>
      <c r="U335" s="48"/>
    </row>
    <row r="336" spans="3:21" x14ac:dyDescent="0.25">
      <c r="C336" s="46"/>
      <c r="D336" s="23"/>
      <c r="E336" s="23"/>
      <c r="F336" s="23"/>
      <c r="G336" s="23"/>
      <c r="H336" s="23"/>
      <c r="I336" s="23"/>
      <c r="J336" s="23"/>
      <c r="K336" s="23"/>
      <c r="L336" s="23"/>
      <c r="M336" s="23"/>
      <c r="N336" s="23"/>
      <c r="O336" s="23"/>
      <c r="P336" s="23"/>
      <c r="Q336" s="23"/>
      <c r="R336" s="23"/>
      <c r="S336" s="23"/>
      <c r="T336" s="23"/>
      <c r="U336" s="48"/>
    </row>
    <row r="337" spans="3:21" x14ac:dyDescent="0.25">
      <c r="C337" s="46"/>
      <c r="D337" s="23"/>
      <c r="E337" s="23"/>
      <c r="F337" s="23"/>
      <c r="G337" s="23"/>
      <c r="H337" s="23"/>
      <c r="I337" s="23"/>
      <c r="J337" s="23"/>
      <c r="K337" s="23"/>
      <c r="L337" s="23"/>
      <c r="M337" s="23"/>
      <c r="N337" s="23"/>
      <c r="O337" s="23"/>
      <c r="P337" s="23"/>
      <c r="Q337" s="23"/>
      <c r="R337" s="23"/>
      <c r="S337" s="23"/>
      <c r="T337" s="23"/>
      <c r="U337" s="48"/>
    </row>
    <row r="338" spans="3:21" x14ac:dyDescent="0.25">
      <c r="C338" s="46"/>
      <c r="D338" s="23"/>
      <c r="E338" s="23"/>
      <c r="F338" s="23"/>
      <c r="G338" s="23"/>
      <c r="H338" s="23"/>
      <c r="I338" s="23"/>
      <c r="J338" s="23"/>
      <c r="K338" s="23"/>
      <c r="L338" s="23"/>
      <c r="M338" s="23"/>
      <c r="N338" s="23"/>
      <c r="O338" s="23"/>
      <c r="P338" s="23"/>
      <c r="Q338" s="23"/>
      <c r="R338" s="23"/>
      <c r="S338" s="23"/>
      <c r="T338" s="23"/>
      <c r="U338" s="48"/>
    </row>
    <row r="339" spans="3:21" x14ac:dyDescent="0.25">
      <c r="C339" s="46"/>
      <c r="D339" s="23"/>
      <c r="E339" s="23"/>
      <c r="F339" s="23"/>
      <c r="G339" s="23"/>
      <c r="H339" s="23"/>
      <c r="I339" s="23"/>
      <c r="J339" s="23"/>
      <c r="K339" s="23"/>
      <c r="L339" s="23"/>
      <c r="M339" s="23"/>
      <c r="N339" s="23"/>
      <c r="O339" s="23"/>
      <c r="P339" s="23"/>
      <c r="Q339" s="23"/>
      <c r="R339" s="23"/>
      <c r="S339" s="23"/>
      <c r="T339" s="23"/>
      <c r="U339" s="48"/>
    </row>
    <row r="340" spans="3:21" x14ac:dyDescent="0.25">
      <c r="C340" s="46"/>
      <c r="D340" s="23"/>
      <c r="E340" s="23"/>
      <c r="F340" s="23"/>
      <c r="G340" s="23"/>
      <c r="H340" s="23"/>
      <c r="I340" s="23"/>
      <c r="J340" s="23"/>
      <c r="K340" s="23"/>
      <c r="L340" s="23"/>
      <c r="M340" s="23"/>
      <c r="N340" s="23"/>
      <c r="O340" s="23"/>
      <c r="P340" s="23"/>
      <c r="Q340" s="23"/>
      <c r="R340" s="23"/>
      <c r="S340" s="23"/>
      <c r="T340" s="23"/>
      <c r="U340" s="48"/>
    </row>
    <row r="341" spans="3:21" x14ac:dyDescent="0.25">
      <c r="C341" s="46"/>
      <c r="D341" s="23"/>
      <c r="E341" s="23"/>
      <c r="F341" s="23"/>
      <c r="G341" s="23"/>
      <c r="H341" s="23"/>
      <c r="I341" s="23"/>
      <c r="J341" s="23"/>
      <c r="K341" s="23"/>
      <c r="L341" s="23"/>
      <c r="M341" s="23"/>
      <c r="N341" s="23"/>
      <c r="O341" s="23"/>
      <c r="P341" s="23"/>
      <c r="Q341" s="23"/>
      <c r="R341" s="23"/>
      <c r="S341" s="23"/>
      <c r="T341" s="23"/>
      <c r="U341" s="48"/>
    </row>
    <row r="342" spans="3:21" x14ac:dyDescent="0.25">
      <c r="C342" s="46"/>
      <c r="D342" s="23"/>
      <c r="E342" s="23"/>
      <c r="F342" s="23"/>
      <c r="G342" s="23"/>
      <c r="H342" s="23"/>
      <c r="I342" s="23"/>
      <c r="J342" s="23"/>
      <c r="K342" s="23"/>
      <c r="L342" s="23"/>
      <c r="M342" s="23"/>
      <c r="N342" s="23"/>
      <c r="O342" s="23"/>
      <c r="P342" s="23"/>
      <c r="Q342" s="23"/>
      <c r="R342" s="23"/>
      <c r="S342" s="23"/>
      <c r="T342" s="23"/>
      <c r="U342" s="48"/>
    </row>
    <row r="343" spans="3:21" x14ac:dyDescent="0.25">
      <c r="C343" s="46"/>
      <c r="D343" s="23"/>
      <c r="E343" s="23"/>
      <c r="F343" s="23"/>
      <c r="G343" s="23"/>
      <c r="H343" s="23"/>
      <c r="I343" s="23"/>
      <c r="J343" s="23"/>
      <c r="K343" s="23"/>
      <c r="L343" s="23"/>
      <c r="M343" s="23"/>
      <c r="N343" s="23"/>
      <c r="O343" s="23"/>
      <c r="P343" s="23"/>
      <c r="Q343" s="23"/>
      <c r="R343" s="23"/>
      <c r="S343" s="23"/>
      <c r="T343" s="23"/>
      <c r="U343" s="48"/>
    </row>
    <row r="344" spans="3:21" x14ac:dyDescent="0.25">
      <c r="C344" s="46"/>
      <c r="D344" s="23"/>
      <c r="E344" s="23"/>
      <c r="F344" s="23"/>
      <c r="G344" s="23"/>
      <c r="H344" s="23"/>
      <c r="I344" s="23"/>
      <c r="J344" s="23"/>
      <c r="K344" s="23"/>
      <c r="L344" s="23"/>
      <c r="M344" s="23"/>
      <c r="N344" s="23"/>
      <c r="O344" s="23"/>
      <c r="P344" s="23"/>
      <c r="Q344" s="23"/>
      <c r="R344" s="23"/>
      <c r="S344" s="23"/>
      <c r="T344" s="23"/>
      <c r="U344" s="48"/>
    </row>
    <row r="345" spans="3:21" x14ac:dyDescent="0.25">
      <c r="C345" s="46"/>
      <c r="D345" s="23"/>
      <c r="E345" s="23"/>
      <c r="F345" s="23"/>
      <c r="G345" s="23"/>
      <c r="H345" s="23"/>
      <c r="I345" s="23"/>
      <c r="J345" s="23"/>
      <c r="K345" s="23"/>
      <c r="L345" s="23"/>
      <c r="M345" s="23"/>
      <c r="N345" s="23"/>
      <c r="O345" s="23"/>
      <c r="P345" s="23"/>
      <c r="Q345" s="23"/>
      <c r="R345" s="23"/>
      <c r="S345" s="23"/>
      <c r="T345" s="23"/>
      <c r="U345" s="48"/>
    </row>
    <row r="346" spans="3:21" x14ac:dyDescent="0.25">
      <c r="C346" s="46"/>
      <c r="D346" s="23"/>
      <c r="E346" s="23"/>
      <c r="F346" s="23"/>
      <c r="G346" s="23"/>
      <c r="H346" s="23"/>
      <c r="I346" s="23"/>
      <c r="J346" s="23"/>
      <c r="K346" s="23"/>
      <c r="L346" s="23"/>
      <c r="M346" s="23"/>
      <c r="N346" s="23"/>
      <c r="O346" s="23"/>
      <c r="P346" s="23"/>
      <c r="Q346" s="23"/>
      <c r="R346" s="23"/>
      <c r="S346" s="23"/>
      <c r="T346" s="23"/>
      <c r="U346" s="48"/>
    </row>
    <row r="347" spans="3:21" x14ac:dyDescent="0.25">
      <c r="C347" s="46"/>
      <c r="D347" s="23"/>
      <c r="E347" s="23"/>
      <c r="F347" s="23"/>
      <c r="G347" s="23"/>
      <c r="H347" s="23"/>
      <c r="I347" s="23"/>
      <c r="J347" s="23"/>
      <c r="K347" s="23"/>
      <c r="L347" s="23"/>
      <c r="M347" s="23"/>
      <c r="N347" s="23"/>
      <c r="O347" s="23"/>
      <c r="P347" s="23"/>
      <c r="Q347" s="23"/>
      <c r="R347" s="23"/>
      <c r="S347" s="23"/>
      <c r="T347" s="23"/>
      <c r="U347" s="48"/>
    </row>
    <row r="348" spans="3:21" x14ac:dyDescent="0.25">
      <c r="C348" s="46"/>
      <c r="D348" s="23"/>
      <c r="E348" s="23"/>
      <c r="F348" s="23"/>
      <c r="G348" s="23"/>
      <c r="H348" s="23"/>
      <c r="I348" s="23"/>
      <c r="J348" s="23"/>
      <c r="K348" s="23"/>
      <c r="L348" s="23"/>
      <c r="M348" s="23"/>
      <c r="N348" s="23"/>
      <c r="O348" s="23"/>
      <c r="P348" s="23"/>
      <c r="Q348" s="23"/>
      <c r="R348" s="23"/>
      <c r="S348" s="23"/>
      <c r="T348" s="23"/>
      <c r="U348" s="48"/>
    </row>
    <row r="349" spans="3:21" x14ac:dyDescent="0.25">
      <c r="C349" s="46"/>
      <c r="D349" s="23"/>
      <c r="E349" s="23"/>
      <c r="F349" s="23"/>
      <c r="G349" s="23"/>
      <c r="H349" s="23"/>
      <c r="I349" s="23"/>
      <c r="J349" s="23"/>
      <c r="K349" s="23"/>
      <c r="L349" s="23"/>
      <c r="M349" s="23"/>
      <c r="N349" s="23"/>
      <c r="O349" s="23"/>
      <c r="P349" s="23"/>
      <c r="Q349" s="23"/>
      <c r="R349" s="23"/>
      <c r="S349" s="23"/>
      <c r="T349" s="23"/>
      <c r="U349" s="48"/>
    </row>
    <row r="350" spans="3:21" x14ac:dyDescent="0.25">
      <c r="C350" s="46"/>
      <c r="D350" s="23"/>
      <c r="E350" s="23"/>
      <c r="F350" s="23"/>
      <c r="G350" s="23"/>
      <c r="H350" s="23"/>
      <c r="I350" s="23"/>
      <c r="J350" s="23"/>
      <c r="K350" s="23"/>
      <c r="L350" s="23"/>
      <c r="M350" s="23"/>
      <c r="N350" s="23"/>
      <c r="O350" s="23"/>
      <c r="P350" s="23"/>
      <c r="Q350" s="23"/>
      <c r="R350" s="23"/>
      <c r="S350" s="23"/>
      <c r="T350" s="23"/>
      <c r="U350" s="48"/>
    </row>
    <row r="351" spans="3:21" x14ac:dyDescent="0.25">
      <c r="C351" s="46"/>
      <c r="D351" s="23"/>
      <c r="E351" s="23"/>
      <c r="F351" s="23"/>
      <c r="G351" s="23"/>
      <c r="H351" s="23"/>
      <c r="I351" s="23"/>
      <c r="J351" s="23"/>
      <c r="K351" s="23"/>
      <c r="L351" s="23"/>
      <c r="M351" s="23"/>
      <c r="N351" s="23"/>
      <c r="O351" s="23"/>
      <c r="P351" s="23"/>
      <c r="Q351" s="23"/>
      <c r="R351" s="23"/>
      <c r="S351" s="23"/>
      <c r="T351" s="23"/>
      <c r="U351" s="48"/>
    </row>
    <row r="352" spans="3:21" x14ac:dyDescent="0.25">
      <c r="C352" s="46"/>
      <c r="D352" s="23"/>
      <c r="E352" s="23"/>
      <c r="F352" s="23"/>
      <c r="G352" s="23"/>
      <c r="H352" s="23"/>
      <c r="I352" s="23"/>
      <c r="J352" s="23"/>
      <c r="K352" s="23"/>
      <c r="L352" s="23"/>
      <c r="M352" s="23"/>
      <c r="N352" s="23"/>
      <c r="O352" s="23"/>
      <c r="P352" s="23"/>
      <c r="Q352" s="23"/>
      <c r="R352" s="23"/>
      <c r="S352" s="23"/>
      <c r="T352" s="23"/>
      <c r="U352" s="48"/>
    </row>
    <row r="353" spans="3:21" x14ac:dyDescent="0.25">
      <c r="C353" s="46"/>
      <c r="D353" s="23"/>
      <c r="E353" s="23"/>
      <c r="F353" s="23"/>
      <c r="G353" s="23"/>
      <c r="H353" s="23"/>
      <c r="I353" s="23"/>
      <c r="J353" s="23"/>
      <c r="K353" s="23"/>
      <c r="L353" s="23"/>
      <c r="M353" s="23"/>
      <c r="N353" s="23"/>
      <c r="O353" s="23"/>
      <c r="P353" s="23"/>
      <c r="Q353" s="23"/>
      <c r="R353" s="23"/>
      <c r="S353" s="23"/>
      <c r="T353" s="23"/>
      <c r="U353" s="48"/>
    </row>
    <row r="354" spans="3:21" x14ac:dyDescent="0.25">
      <c r="C354" s="46"/>
      <c r="D354" s="23"/>
      <c r="E354" s="23"/>
      <c r="F354" s="23"/>
      <c r="G354" s="23"/>
      <c r="H354" s="23"/>
      <c r="I354" s="23"/>
      <c r="J354" s="23"/>
      <c r="K354" s="23"/>
      <c r="L354" s="23"/>
      <c r="M354" s="23"/>
      <c r="N354" s="23"/>
      <c r="O354" s="23"/>
      <c r="P354" s="23"/>
      <c r="Q354" s="23"/>
      <c r="R354" s="23"/>
      <c r="S354" s="23"/>
      <c r="T354" s="23"/>
      <c r="U354" s="48"/>
    </row>
    <row r="355" spans="3:21" x14ac:dyDescent="0.25">
      <c r="C355" s="46"/>
      <c r="D355" s="23"/>
      <c r="E355" s="23"/>
      <c r="F355" s="23"/>
      <c r="G355" s="23"/>
      <c r="H355" s="23"/>
      <c r="I355" s="23"/>
      <c r="J355" s="23"/>
      <c r="K355" s="23"/>
      <c r="L355" s="23"/>
      <c r="M355" s="23"/>
      <c r="N355" s="23"/>
      <c r="O355" s="23"/>
      <c r="P355" s="23"/>
      <c r="Q355" s="23"/>
      <c r="R355" s="23"/>
      <c r="S355" s="23"/>
      <c r="T355" s="23"/>
      <c r="U355" s="48"/>
    </row>
    <row r="356" spans="3:21" x14ac:dyDescent="0.25">
      <c r="C356" s="46"/>
      <c r="D356" s="23"/>
      <c r="E356" s="23"/>
      <c r="F356" s="23"/>
      <c r="G356" s="23"/>
      <c r="H356" s="23"/>
      <c r="I356" s="23"/>
      <c r="J356" s="23"/>
      <c r="K356" s="23"/>
      <c r="L356" s="23"/>
      <c r="M356" s="23"/>
      <c r="N356" s="23"/>
      <c r="O356" s="23"/>
      <c r="P356" s="23"/>
      <c r="Q356" s="23"/>
      <c r="R356" s="23"/>
      <c r="S356" s="23"/>
      <c r="T356" s="23"/>
      <c r="U356" s="48"/>
    </row>
    <row r="357" spans="3:21" x14ac:dyDescent="0.25">
      <c r="C357" s="46"/>
      <c r="D357" s="23"/>
      <c r="E357" s="23"/>
      <c r="F357" s="23"/>
      <c r="G357" s="23"/>
      <c r="H357" s="23"/>
      <c r="I357" s="23"/>
      <c r="J357" s="23"/>
      <c r="K357" s="23"/>
      <c r="L357" s="23"/>
      <c r="M357" s="23"/>
      <c r="N357" s="23"/>
      <c r="O357" s="23"/>
      <c r="P357" s="23"/>
      <c r="Q357" s="23"/>
      <c r="R357" s="23"/>
      <c r="S357" s="23"/>
      <c r="T357" s="23"/>
      <c r="U357" s="48"/>
    </row>
    <row r="358" spans="3:21" x14ac:dyDescent="0.25">
      <c r="C358" s="46"/>
      <c r="D358" s="23"/>
      <c r="E358" s="23"/>
      <c r="F358" s="23"/>
      <c r="G358" s="23"/>
      <c r="H358" s="23"/>
      <c r="I358" s="23"/>
      <c r="J358" s="23"/>
      <c r="K358" s="23"/>
      <c r="L358" s="23"/>
      <c r="M358" s="23"/>
      <c r="N358" s="23"/>
      <c r="O358" s="23"/>
      <c r="P358" s="23"/>
      <c r="Q358" s="23"/>
      <c r="R358" s="23"/>
      <c r="S358" s="23"/>
      <c r="T358" s="23"/>
      <c r="U358" s="48"/>
    </row>
    <row r="359" spans="3:21" ht="15.75" x14ac:dyDescent="0.25">
      <c r="C359" s="46"/>
      <c r="D359" s="23"/>
      <c r="E359" s="23"/>
      <c r="F359" s="51" t="s">
        <v>248</v>
      </c>
      <c r="G359" s="23"/>
      <c r="H359" s="23"/>
      <c r="I359" s="23"/>
      <c r="J359" s="23"/>
      <c r="K359" s="23"/>
      <c r="L359" s="23"/>
      <c r="M359" s="23"/>
      <c r="N359" s="23"/>
      <c r="O359" s="23"/>
      <c r="P359" s="23"/>
      <c r="Q359" s="23"/>
      <c r="R359" s="23"/>
      <c r="S359" s="23"/>
      <c r="T359" s="23"/>
      <c r="U359" s="48"/>
    </row>
    <row r="360" spans="3:21" x14ac:dyDescent="0.25">
      <c r="C360" s="46"/>
      <c r="D360" s="23"/>
      <c r="E360" s="23"/>
      <c r="F360" s="23"/>
      <c r="G360" s="23"/>
      <c r="H360" s="23"/>
      <c r="I360" s="23"/>
      <c r="J360" s="23"/>
      <c r="K360" s="23"/>
      <c r="L360" s="23"/>
      <c r="M360" s="23"/>
      <c r="N360" s="23"/>
      <c r="O360" s="23"/>
      <c r="P360" s="23"/>
      <c r="Q360" s="23"/>
      <c r="R360" s="23"/>
      <c r="S360" s="23"/>
      <c r="T360" s="23"/>
      <c r="U360" s="48"/>
    </row>
    <row r="361" spans="3:21" x14ac:dyDescent="0.25">
      <c r="C361" s="46"/>
      <c r="D361" s="23"/>
      <c r="E361" s="23"/>
      <c r="F361" s="23"/>
      <c r="G361" s="23"/>
      <c r="H361" s="23"/>
      <c r="I361" s="23"/>
      <c r="J361" s="23"/>
      <c r="K361" s="23"/>
      <c r="L361" s="23"/>
      <c r="M361" s="23"/>
      <c r="N361" s="23"/>
      <c r="O361" s="23"/>
      <c r="P361" s="23"/>
      <c r="Q361" s="23"/>
      <c r="R361" s="23"/>
      <c r="S361" s="23"/>
      <c r="T361" s="23"/>
      <c r="U361" s="48"/>
    </row>
    <row r="362" spans="3:21" x14ac:dyDescent="0.25">
      <c r="C362" s="46"/>
      <c r="D362" s="23"/>
      <c r="E362" s="23"/>
      <c r="F362" s="23"/>
      <c r="G362" s="23"/>
      <c r="H362" s="23"/>
      <c r="I362" s="23"/>
      <c r="J362" s="23"/>
      <c r="K362" s="23"/>
      <c r="L362" s="23"/>
      <c r="M362" s="23"/>
      <c r="N362" s="23"/>
      <c r="O362" s="23"/>
      <c r="P362" s="23"/>
      <c r="Q362" s="23"/>
      <c r="R362" s="23"/>
      <c r="S362" s="23"/>
      <c r="T362" s="23"/>
      <c r="U362" s="48"/>
    </row>
    <row r="363" spans="3:21" x14ac:dyDescent="0.25">
      <c r="C363" s="46"/>
      <c r="D363" s="23"/>
      <c r="E363" s="23"/>
      <c r="F363" s="23"/>
      <c r="G363" s="23"/>
      <c r="H363" s="23"/>
      <c r="I363" s="23"/>
      <c r="J363" s="23"/>
      <c r="K363" s="23"/>
      <c r="L363" s="23"/>
      <c r="M363" s="23"/>
      <c r="N363" s="23"/>
      <c r="O363" s="23"/>
      <c r="P363" s="23"/>
      <c r="Q363" s="23"/>
      <c r="R363" s="23"/>
      <c r="S363" s="23"/>
      <c r="T363" s="23"/>
      <c r="U363" s="48"/>
    </row>
    <row r="364" spans="3:21" x14ac:dyDescent="0.25">
      <c r="C364" s="46"/>
      <c r="D364" s="23"/>
      <c r="E364" s="23"/>
      <c r="F364" s="23"/>
      <c r="G364" s="23"/>
      <c r="H364" s="23"/>
      <c r="I364" s="23"/>
      <c r="J364" s="23"/>
      <c r="K364" s="23"/>
      <c r="L364" s="23"/>
      <c r="M364" s="23"/>
      <c r="N364" s="23"/>
      <c r="O364" s="23"/>
      <c r="P364" s="23"/>
      <c r="Q364" s="23"/>
      <c r="R364" s="23"/>
      <c r="S364" s="23"/>
      <c r="T364" s="23"/>
      <c r="U364" s="48"/>
    </row>
    <row r="365" spans="3:21" x14ac:dyDescent="0.25">
      <c r="C365" s="46"/>
      <c r="D365" s="23"/>
      <c r="E365" s="23"/>
      <c r="F365" s="23"/>
      <c r="G365" s="23"/>
      <c r="H365" s="23"/>
      <c r="I365" s="23"/>
      <c r="J365" s="23"/>
      <c r="K365" s="23"/>
      <c r="L365" s="23"/>
      <c r="M365" s="23"/>
      <c r="N365" s="23"/>
      <c r="O365" s="23"/>
      <c r="P365" s="23"/>
      <c r="Q365" s="23"/>
      <c r="R365" s="23"/>
      <c r="S365" s="23"/>
      <c r="T365" s="23"/>
      <c r="U365" s="48"/>
    </row>
    <row r="366" spans="3:21" x14ac:dyDescent="0.25">
      <c r="C366" s="46"/>
      <c r="D366" s="23"/>
      <c r="E366" s="23"/>
      <c r="F366" s="23"/>
      <c r="G366" s="23"/>
      <c r="H366" s="23"/>
      <c r="I366" s="23"/>
      <c r="J366" s="23"/>
      <c r="K366" s="23"/>
      <c r="L366" s="23"/>
      <c r="M366" s="23"/>
      <c r="N366" s="23"/>
      <c r="O366" s="23"/>
      <c r="P366" s="23"/>
      <c r="Q366" s="23"/>
      <c r="R366" s="23"/>
      <c r="S366" s="23"/>
      <c r="T366" s="23"/>
      <c r="U366" s="48"/>
    </row>
    <row r="367" spans="3:21" x14ac:dyDescent="0.25">
      <c r="C367" s="46"/>
      <c r="D367" s="23"/>
      <c r="E367" s="23"/>
      <c r="F367" s="23"/>
      <c r="G367" s="23"/>
      <c r="H367" s="23"/>
      <c r="I367" s="23"/>
      <c r="J367" s="23"/>
      <c r="K367" s="23"/>
      <c r="L367" s="23"/>
      <c r="M367" s="23"/>
      <c r="N367" s="23"/>
      <c r="O367" s="23"/>
      <c r="P367" s="23"/>
      <c r="Q367" s="23"/>
      <c r="R367" s="23"/>
      <c r="S367" s="23"/>
      <c r="T367" s="23"/>
      <c r="U367" s="48"/>
    </row>
    <row r="368" spans="3:21" x14ac:dyDescent="0.25">
      <c r="C368" s="46"/>
      <c r="D368" s="23"/>
      <c r="E368" s="23"/>
      <c r="F368" s="23"/>
      <c r="G368" s="23"/>
      <c r="H368" s="23"/>
      <c r="I368" s="23"/>
      <c r="J368" s="23"/>
      <c r="K368" s="23"/>
      <c r="L368" s="23"/>
      <c r="M368" s="23"/>
      <c r="N368" s="23"/>
      <c r="O368" s="23"/>
      <c r="P368" s="23"/>
      <c r="Q368" s="23"/>
      <c r="R368" s="23"/>
      <c r="S368" s="23"/>
      <c r="T368" s="23"/>
      <c r="U368" s="48"/>
    </row>
    <row r="369" spans="3:21" x14ac:dyDescent="0.25">
      <c r="C369" s="46"/>
      <c r="D369" s="23"/>
      <c r="E369" s="23"/>
      <c r="F369" s="23"/>
      <c r="G369" s="23"/>
      <c r="H369" s="23"/>
      <c r="I369" s="23"/>
      <c r="J369" s="23"/>
      <c r="K369" s="23"/>
      <c r="L369" s="23"/>
      <c r="M369" s="23"/>
      <c r="N369" s="23"/>
      <c r="O369" s="23"/>
      <c r="P369" s="23"/>
      <c r="Q369" s="23"/>
      <c r="R369" s="23"/>
      <c r="S369" s="23"/>
      <c r="T369" s="23"/>
      <c r="U369" s="48"/>
    </row>
    <row r="370" spans="3:21" x14ac:dyDescent="0.25">
      <c r="C370" s="46"/>
      <c r="D370" s="23"/>
      <c r="E370" s="23"/>
      <c r="F370" s="23"/>
      <c r="G370" s="23"/>
      <c r="H370" s="23"/>
      <c r="I370" s="23"/>
      <c r="J370" s="23"/>
      <c r="K370" s="23"/>
      <c r="L370" s="23"/>
      <c r="M370" s="23"/>
      <c r="N370" s="23"/>
      <c r="O370" s="23"/>
      <c r="P370" s="23"/>
      <c r="Q370" s="23"/>
      <c r="R370" s="23"/>
      <c r="S370" s="23"/>
      <c r="T370" s="23"/>
      <c r="U370" s="48"/>
    </row>
    <row r="371" spans="3:21" x14ac:dyDescent="0.25">
      <c r="C371" s="46"/>
      <c r="D371" s="23"/>
      <c r="E371" s="23"/>
      <c r="F371" s="23"/>
      <c r="G371" s="23"/>
      <c r="H371" s="23"/>
      <c r="I371" s="23"/>
      <c r="J371" s="23"/>
      <c r="K371" s="23"/>
      <c r="L371" s="23"/>
      <c r="M371" s="23"/>
      <c r="N371" s="23"/>
      <c r="O371" s="23"/>
      <c r="P371" s="23"/>
      <c r="Q371" s="23"/>
      <c r="R371" s="23"/>
      <c r="S371" s="23"/>
      <c r="T371" s="23"/>
      <c r="U371" s="48"/>
    </row>
    <row r="372" spans="3:21" x14ac:dyDescent="0.25">
      <c r="C372" s="46"/>
      <c r="D372" s="23"/>
      <c r="E372" s="23"/>
      <c r="F372" s="23"/>
      <c r="G372" s="23"/>
      <c r="H372" s="23"/>
      <c r="I372" s="23"/>
      <c r="J372" s="23"/>
      <c r="K372" s="23"/>
      <c r="L372" s="23"/>
      <c r="M372" s="23"/>
      <c r="N372" s="23"/>
      <c r="O372" s="23"/>
      <c r="P372" s="23"/>
      <c r="Q372" s="23"/>
      <c r="R372" s="23"/>
      <c r="S372" s="23"/>
      <c r="T372" s="23"/>
      <c r="U372" s="48"/>
    </row>
    <row r="373" spans="3:21" x14ac:dyDescent="0.25">
      <c r="C373" s="46"/>
      <c r="D373" s="23"/>
      <c r="E373" s="23"/>
      <c r="F373" s="23"/>
      <c r="G373" s="23"/>
      <c r="H373" s="23"/>
      <c r="I373" s="23"/>
      <c r="J373" s="23"/>
      <c r="K373" s="23"/>
      <c r="L373" s="23"/>
      <c r="M373" s="23"/>
      <c r="N373" s="23"/>
      <c r="O373" s="23"/>
      <c r="P373" s="23"/>
      <c r="Q373" s="23"/>
      <c r="R373" s="23"/>
      <c r="S373" s="23"/>
      <c r="T373" s="23"/>
      <c r="U373" s="48"/>
    </row>
    <row r="374" spans="3:21" x14ac:dyDescent="0.25">
      <c r="C374" s="46"/>
      <c r="D374" s="23"/>
      <c r="E374" s="23"/>
      <c r="F374" s="23"/>
      <c r="G374" s="23"/>
      <c r="H374" s="23"/>
      <c r="I374" s="23"/>
      <c r="J374" s="23"/>
      <c r="K374" s="23"/>
      <c r="L374" s="23"/>
      <c r="M374" s="23"/>
      <c r="N374" s="23"/>
      <c r="O374" s="23"/>
      <c r="P374" s="23"/>
      <c r="Q374" s="23"/>
      <c r="R374" s="23"/>
      <c r="S374" s="23"/>
      <c r="T374" s="23"/>
      <c r="U374" s="48"/>
    </row>
    <row r="375" spans="3:21" x14ac:dyDescent="0.25">
      <c r="C375" s="46"/>
      <c r="D375" s="23"/>
      <c r="E375" s="23"/>
      <c r="F375" s="23"/>
      <c r="G375" s="23"/>
      <c r="H375" s="23"/>
      <c r="I375" s="23"/>
      <c r="J375" s="23"/>
      <c r="K375" s="23"/>
      <c r="L375" s="23"/>
      <c r="M375" s="23"/>
      <c r="N375" s="23"/>
      <c r="O375" s="23"/>
      <c r="P375" s="23"/>
      <c r="Q375" s="23"/>
      <c r="R375" s="23"/>
      <c r="S375" s="23"/>
      <c r="T375" s="23"/>
      <c r="U375" s="48"/>
    </row>
    <row r="376" spans="3:21" x14ac:dyDescent="0.25">
      <c r="C376" s="46"/>
      <c r="D376" s="23"/>
      <c r="E376" s="23"/>
      <c r="F376" s="23"/>
      <c r="G376" s="23"/>
      <c r="H376" s="23"/>
      <c r="I376" s="23"/>
      <c r="J376" s="23"/>
      <c r="K376" s="23"/>
      <c r="L376" s="23"/>
      <c r="M376" s="23"/>
      <c r="N376" s="23"/>
      <c r="O376" s="23"/>
      <c r="P376" s="23"/>
      <c r="Q376" s="23"/>
      <c r="R376" s="23"/>
      <c r="S376" s="23"/>
      <c r="T376" s="23"/>
      <c r="U376" s="48"/>
    </row>
    <row r="377" spans="3:21" x14ac:dyDescent="0.25">
      <c r="C377" s="46"/>
      <c r="D377" s="23"/>
      <c r="E377" s="23"/>
      <c r="F377" s="23"/>
      <c r="G377" s="23"/>
      <c r="H377" s="23"/>
      <c r="I377" s="23"/>
      <c r="J377" s="23"/>
      <c r="K377" s="23"/>
      <c r="L377" s="23"/>
      <c r="M377" s="23"/>
      <c r="N377" s="23"/>
      <c r="O377" s="23"/>
      <c r="P377" s="23"/>
      <c r="Q377" s="23"/>
      <c r="R377" s="23"/>
      <c r="S377" s="23"/>
      <c r="T377" s="23"/>
      <c r="U377" s="48"/>
    </row>
    <row r="378" spans="3:21" x14ac:dyDescent="0.25">
      <c r="C378" s="46"/>
      <c r="D378" s="23"/>
      <c r="E378" s="23"/>
      <c r="F378" s="23"/>
      <c r="G378" s="23"/>
      <c r="H378" s="23"/>
      <c r="I378" s="23"/>
      <c r="J378" s="23"/>
      <c r="K378" s="23"/>
      <c r="L378" s="23"/>
      <c r="M378" s="23"/>
      <c r="N378" s="23"/>
      <c r="O378" s="23"/>
      <c r="P378" s="23"/>
      <c r="Q378" s="23"/>
      <c r="R378" s="23"/>
      <c r="S378" s="23"/>
      <c r="T378" s="23"/>
      <c r="U378" s="48"/>
    </row>
    <row r="379" spans="3:21" x14ac:dyDescent="0.25">
      <c r="C379" s="46"/>
      <c r="D379" s="23"/>
      <c r="E379" s="23"/>
      <c r="F379" s="23"/>
      <c r="G379" s="23"/>
      <c r="H379" s="23"/>
      <c r="I379" s="23"/>
      <c r="J379" s="23"/>
      <c r="K379" s="23"/>
      <c r="L379" s="23"/>
      <c r="M379" s="23"/>
      <c r="N379" s="23"/>
      <c r="O379" s="23"/>
      <c r="P379" s="23"/>
      <c r="Q379" s="23"/>
      <c r="R379" s="23"/>
      <c r="S379" s="23"/>
      <c r="T379" s="23"/>
      <c r="U379" s="48"/>
    </row>
    <row r="380" spans="3:21" x14ac:dyDescent="0.25">
      <c r="C380" s="46"/>
      <c r="D380" s="23"/>
      <c r="E380" s="23"/>
      <c r="F380" s="23"/>
      <c r="G380" s="23"/>
      <c r="H380" s="23"/>
      <c r="I380" s="23"/>
      <c r="J380" s="23"/>
      <c r="K380" s="23"/>
      <c r="L380" s="23"/>
      <c r="M380" s="23"/>
      <c r="N380" s="23"/>
      <c r="O380" s="23"/>
      <c r="P380" s="23"/>
      <c r="Q380" s="23"/>
      <c r="R380" s="23"/>
      <c r="S380" s="23"/>
      <c r="T380" s="23"/>
      <c r="U380" s="48"/>
    </row>
    <row r="381" spans="3:21" x14ac:dyDescent="0.25">
      <c r="C381" s="46"/>
      <c r="D381" s="23"/>
      <c r="E381" s="23"/>
      <c r="F381" s="23"/>
      <c r="G381" s="23"/>
      <c r="H381" s="23"/>
      <c r="I381" s="23"/>
      <c r="J381" s="23"/>
      <c r="K381" s="23"/>
      <c r="L381" s="23"/>
      <c r="M381" s="23"/>
      <c r="N381" s="23"/>
      <c r="O381" s="23"/>
      <c r="P381" s="23"/>
      <c r="Q381" s="23"/>
      <c r="R381" s="23"/>
      <c r="S381" s="23"/>
      <c r="T381" s="23"/>
      <c r="U381" s="48"/>
    </row>
    <row r="382" spans="3:21" x14ac:dyDescent="0.25">
      <c r="C382" s="46"/>
      <c r="D382" s="23"/>
      <c r="E382" s="23"/>
      <c r="F382" s="23"/>
      <c r="G382" s="23"/>
      <c r="H382" s="23"/>
      <c r="I382" s="23"/>
      <c r="J382" s="23"/>
      <c r="K382" s="23"/>
      <c r="L382" s="23"/>
      <c r="M382" s="23"/>
      <c r="N382" s="23"/>
      <c r="O382" s="23"/>
      <c r="P382" s="23"/>
      <c r="Q382" s="23"/>
      <c r="R382" s="23"/>
      <c r="S382" s="23"/>
      <c r="T382" s="23"/>
      <c r="U382" s="48"/>
    </row>
    <row r="383" spans="3:21" x14ac:dyDescent="0.25">
      <c r="C383" s="46"/>
      <c r="D383" s="23"/>
      <c r="E383" s="23"/>
      <c r="F383" s="23"/>
      <c r="G383" s="23"/>
      <c r="H383" s="23"/>
      <c r="I383" s="23"/>
      <c r="J383" s="23"/>
      <c r="K383" s="23"/>
      <c r="L383" s="23"/>
      <c r="M383" s="23"/>
      <c r="N383" s="23"/>
      <c r="O383" s="23"/>
      <c r="P383" s="23"/>
      <c r="Q383" s="23"/>
      <c r="R383" s="23"/>
      <c r="S383" s="23"/>
      <c r="T383" s="23"/>
      <c r="U383" s="48"/>
    </row>
    <row r="384" spans="3:21" x14ac:dyDescent="0.25">
      <c r="C384" s="46"/>
      <c r="D384" s="23"/>
      <c r="E384" s="23"/>
      <c r="F384" s="23"/>
      <c r="G384" s="23"/>
      <c r="H384" s="23"/>
      <c r="I384" s="23"/>
      <c r="J384" s="23"/>
      <c r="K384" s="23"/>
      <c r="L384" s="23"/>
      <c r="M384" s="23"/>
      <c r="N384" s="23"/>
      <c r="O384" s="23"/>
      <c r="P384" s="23"/>
      <c r="Q384" s="23"/>
      <c r="R384" s="23"/>
      <c r="S384" s="23"/>
      <c r="T384" s="23"/>
      <c r="U384" s="48"/>
    </row>
    <row r="385" spans="3:21" x14ac:dyDescent="0.25">
      <c r="C385" s="46"/>
      <c r="D385" s="23"/>
      <c r="E385" s="23"/>
      <c r="F385" s="23"/>
      <c r="G385" s="23"/>
      <c r="H385" s="23"/>
      <c r="I385" s="23"/>
      <c r="J385" s="23"/>
      <c r="K385" s="23"/>
      <c r="L385" s="23"/>
      <c r="M385" s="23"/>
      <c r="N385" s="23"/>
      <c r="O385" s="23"/>
      <c r="P385" s="23"/>
      <c r="Q385" s="23"/>
      <c r="R385" s="23"/>
      <c r="S385" s="23"/>
      <c r="T385" s="23"/>
      <c r="U385" s="48"/>
    </row>
    <row r="386" spans="3:21" x14ac:dyDescent="0.25">
      <c r="C386" s="46"/>
      <c r="D386" s="23"/>
      <c r="E386" s="23"/>
      <c r="F386" s="23"/>
      <c r="G386" s="23"/>
      <c r="H386" s="23"/>
      <c r="I386" s="23"/>
      <c r="J386" s="23"/>
      <c r="K386" s="23"/>
      <c r="L386" s="23"/>
      <c r="M386" s="23"/>
      <c r="N386" s="23"/>
      <c r="O386" s="23"/>
      <c r="P386" s="23"/>
      <c r="Q386" s="23"/>
      <c r="R386" s="23"/>
      <c r="S386" s="23"/>
      <c r="T386" s="23"/>
      <c r="U386" s="48"/>
    </row>
    <row r="387" spans="3:21" x14ac:dyDescent="0.25">
      <c r="C387" s="46"/>
      <c r="D387" s="23"/>
      <c r="E387" s="23"/>
      <c r="F387" s="23"/>
      <c r="G387" s="23"/>
      <c r="H387" s="23"/>
      <c r="I387" s="23"/>
      <c r="J387" s="23"/>
      <c r="K387" s="23"/>
      <c r="L387" s="23"/>
      <c r="M387" s="23"/>
      <c r="N387" s="23"/>
      <c r="O387" s="23"/>
      <c r="P387" s="23"/>
      <c r="Q387" s="23"/>
      <c r="R387" s="23"/>
      <c r="S387" s="23"/>
      <c r="T387" s="23"/>
      <c r="U387" s="48"/>
    </row>
    <row r="388" spans="3:21" x14ac:dyDescent="0.25">
      <c r="C388" s="46"/>
      <c r="D388" s="23"/>
      <c r="E388" s="23"/>
      <c r="F388" s="23"/>
      <c r="G388" s="23"/>
      <c r="H388" s="23"/>
      <c r="I388" s="23"/>
      <c r="J388" s="23"/>
      <c r="K388" s="23"/>
      <c r="L388" s="23"/>
      <c r="M388" s="23"/>
      <c r="N388" s="23"/>
      <c r="O388" s="23"/>
      <c r="P388" s="23"/>
      <c r="Q388" s="23"/>
      <c r="R388" s="23"/>
      <c r="S388" s="23"/>
      <c r="T388" s="23"/>
      <c r="U388" s="48"/>
    </row>
    <row r="389" spans="3:21" x14ac:dyDescent="0.25">
      <c r="C389" s="46"/>
      <c r="D389" s="23"/>
      <c r="E389" s="23"/>
      <c r="F389" s="23"/>
      <c r="G389" s="23"/>
      <c r="H389" s="23"/>
      <c r="I389" s="23"/>
      <c r="J389" s="23"/>
      <c r="K389" s="23"/>
      <c r="L389" s="23"/>
      <c r="M389" s="23"/>
      <c r="N389" s="23"/>
      <c r="O389" s="23"/>
      <c r="P389" s="23"/>
      <c r="Q389" s="23"/>
      <c r="R389" s="23"/>
      <c r="S389" s="23"/>
      <c r="T389" s="23"/>
      <c r="U389" s="48"/>
    </row>
    <row r="390" spans="3:21" x14ac:dyDescent="0.25">
      <c r="C390" s="46"/>
      <c r="D390" s="23"/>
      <c r="E390" s="23"/>
      <c r="F390" s="23"/>
      <c r="G390" s="23"/>
      <c r="H390" s="23"/>
      <c r="I390" s="23"/>
      <c r="J390" s="23"/>
      <c r="K390" s="23"/>
      <c r="L390" s="23"/>
      <c r="M390" s="23"/>
      <c r="N390" s="23"/>
      <c r="O390" s="23"/>
      <c r="P390" s="23"/>
      <c r="Q390" s="23"/>
      <c r="R390" s="23"/>
      <c r="S390" s="23"/>
      <c r="T390" s="23"/>
      <c r="U390" s="48"/>
    </row>
    <row r="391" spans="3:21" x14ac:dyDescent="0.25">
      <c r="C391" s="46"/>
      <c r="D391" s="23"/>
      <c r="E391" s="23"/>
      <c r="F391" s="23"/>
      <c r="G391" s="23"/>
      <c r="H391" s="23"/>
      <c r="I391" s="23"/>
      <c r="J391" s="23"/>
      <c r="K391" s="23"/>
      <c r="L391" s="23"/>
      <c r="M391" s="23"/>
      <c r="N391" s="23"/>
      <c r="O391" s="23"/>
      <c r="P391" s="23"/>
      <c r="Q391" s="23"/>
      <c r="R391" s="23"/>
      <c r="S391" s="23"/>
      <c r="T391" s="23"/>
      <c r="U391" s="48"/>
    </row>
    <row r="392" spans="3:21" x14ac:dyDescent="0.25">
      <c r="C392" s="46"/>
      <c r="D392" s="23"/>
      <c r="E392" s="23"/>
      <c r="F392" s="23"/>
      <c r="G392" s="23"/>
      <c r="H392" s="23"/>
      <c r="I392" s="23"/>
      <c r="J392" s="23"/>
      <c r="K392" s="23"/>
      <c r="L392" s="23"/>
      <c r="M392" s="23"/>
      <c r="N392" s="23"/>
      <c r="O392" s="23"/>
      <c r="P392" s="23"/>
      <c r="Q392" s="23"/>
      <c r="R392" s="23"/>
      <c r="S392" s="23"/>
      <c r="T392" s="23"/>
      <c r="U392" s="48"/>
    </row>
    <row r="393" spans="3:21" x14ac:dyDescent="0.25">
      <c r="C393" s="46"/>
      <c r="D393" s="23"/>
      <c r="E393" s="23"/>
      <c r="F393" s="23"/>
      <c r="G393" s="23"/>
      <c r="H393" s="23"/>
      <c r="I393" s="23"/>
      <c r="J393" s="23"/>
      <c r="K393" s="23"/>
      <c r="L393" s="23"/>
      <c r="M393" s="23"/>
      <c r="N393" s="23"/>
      <c r="O393" s="23"/>
      <c r="P393" s="23"/>
      <c r="Q393" s="23"/>
      <c r="R393" s="23"/>
      <c r="S393" s="23"/>
      <c r="T393" s="23"/>
      <c r="U393" s="48"/>
    </row>
    <row r="394" spans="3:21" x14ac:dyDescent="0.25">
      <c r="C394" s="46"/>
      <c r="D394" s="23"/>
      <c r="E394" s="23"/>
      <c r="F394" s="23"/>
      <c r="G394" s="23"/>
      <c r="H394" s="23"/>
      <c r="I394" s="23"/>
      <c r="J394" s="23"/>
      <c r="K394" s="23"/>
      <c r="L394" s="23"/>
      <c r="M394" s="23"/>
      <c r="N394" s="23"/>
      <c r="O394" s="23"/>
      <c r="P394" s="23"/>
      <c r="Q394" s="23"/>
      <c r="R394" s="23"/>
      <c r="S394" s="23"/>
      <c r="T394" s="23"/>
      <c r="U394" s="48"/>
    </row>
    <row r="395" spans="3:21" x14ac:dyDescent="0.25">
      <c r="C395" s="46"/>
      <c r="D395" s="23"/>
      <c r="E395" s="23"/>
      <c r="F395" s="23"/>
      <c r="G395" s="23"/>
      <c r="H395" s="23"/>
      <c r="I395" s="23"/>
      <c r="J395" s="23"/>
      <c r="K395" s="23"/>
      <c r="L395" s="23"/>
      <c r="M395" s="23"/>
      <c r="N395" s="23"/>
      <c r="O395" s="23"/>
      <c r="P395" s="23"/>
      <c r="Q395" s="23"/>
      <c r="R395" s="23"/>
      <c r="S395" s="23"/>
      <c r="T395" s="23"/>
      <c r="U395" s="48"/>
    </row>
    <row r="396" spans="3:21" x14ac:dyDescent="0.25">
      <c r="C396" s="46"/>
      <c r="D396" s="23"/>
      <c r="E396" s="23"/>
      <c r="F396" s="23"/>
      <c r="G396" s="23"/>
      <c r="H396" s="23"/>
      <c r="I396" s="23"/>
      <c r="J396" s="23"/>
      <c r="K396" s="23"/>
      <c r="L396" s="23"/>
      <c r="M396" s="23"/>
      <c r="N396" s="23"/>
      <c r="O396" s="23"/>
      <c r="P396" s="23"/>
      <c r="Q396" s="23"/>
      <c r="R396" s="23"/>
      <c r="S396" s="23"/>
      <c r="T396" s="23"/>
      <c r="U396" s="48"/>
    </row>
    <row r="397" spans="3:21" x14ac:dyDescent="0.25">
      <c r="C397" s="46"/>
      <c r="D397" s="23"/>
      <c r="E397" s="23"/>
      <c r="F397" s="23"/>
      <c r="G397" s="23"/>
      <c r="H397" s="23"/>
      <c r="I397" s="23"/>
      <c r="J397" s="23"/>
      <c r="K397" s="23"/>
      <c r="L397" s="23"/>
      <c r="M397" s="23"/>
      <c r="N397" s="23"/>
      <c r="O397" s="23"/>
      <c r="P397" s="23"/>
      <c r="Q397" s="23"/>
      <c r="R397" s="23"/>
      <c r="S397" s="23"/>
      <c r="T397" s="23"/>
      <c r="U397" s="48"/>
    </row>
    <row r="398" spans="3:21" x14ac:dyDescent="0.25">
      <c r="C398" s="46"/>
      <c r="D398" s="23"/>
      <c r="E398" s="23"/>
      <c r="F398" s="23"/>
      <c r="G398" s="23"/>
      <c r="H398" s="23"/>
      <c r="I398" s="23"/>
      <c r="J398" s="23"/>
      <c r="K398" s="23"/>
      <c r="L398" s="23"/>
      <c r="M398" s="23"/>
      <c r="N398" s="23"/>
      <c r="O398" s="23"/>
      <c r="P398" s="23"/>
      <c r="Q398" s="23"/>
      <c r="R398" s="23"/>
      <c r="S398" s="23"/>
      <c r="T398" s="23"/>
      <c r="U398" s="48"/>
    </row>
    <row r="399" spans="3:21" x14ac:dyDescent="0.25">
      <c r="C399" s="46"/>
      <c r="D399" s="23"/>
      <c r="E399" s="23"/>
      <c r="F399" s="23"/>
      <c r="G399" s="23"/>
      <c r="H399" s="23"/>
      <c r="I399" s="23"/>
      <c r="J399" s="23"/>
      <c r="K399" s="23"/>
      <c r="L399" s="23"/>
      <c r="M399" s="23"/>
      <c r="N399" s="23"/>
      <c r="O399" s="23"/>
      <c r="P399" s="23"/>
      <c r="Q399" s="23"/>
      <c r="R399" s="23"/>
      <c r="S399" s="23"/>
      <c r="T399" s="23"/>
      <c r="U399" s="48"/>
    </row>
    <row r="400" spans="3:21" x14ac:dyDescent="0.25">
      <c r="C400" s="46"/>
      <c r="D400" s="23"/>
      <c r="E400" s="23"/>
      <c r="F400" s="23"/>
      <c r="G400" s="23"/>
      <c r="H400" s="23"/>
      <c r="I400" s="23"/>
      <c r="J400" s="23"/>
      <c r="K400" s="23"/>
      <c r="L400" s="23"/>
      <c r="M400" s="23"/>
      <c r="N400" s="23"/>
      <c r="O400" s="23"/>
      <c r="P400" s="23"/>
      <c r="Q400" s="23"/>
      <c r="R400" s="23"/>
      <c r="S400" s="23"/>
      <c r="T400" s="23"/>
      <c r="U400" s="48"/>
    </row>
    <row r="401" spans="3:21" x14ac:dyDescent="0.25">
      <c r="C401" s="46"/>
      <c r="D401" s="23"/>
      <c r="E401" s="23"/>
      <c r="F401" s="23"/>
      <c r="G401" s="23"/>
      <c r="H401" s="23"/>
      <c r="I401" s="23"/>
      <c r="J401" s="23"/>
      <c r="K401" s="23"/>
      <c r="L401" s="23"/>
      <c r="M401" s="23"/>
      <c r="N401" s="23"/>
      <c r="O401" s="23"/>
      <c r="P401" s="23"/>
      <c r="Q401" s="23"/>
      <c r="R401" s="23"/>
      <c r="S401" s="23"/>
      <c r="T401" s="23"/>
      <c r="U401" s="48"/>
    </row>
    <row r="402" spans="3:21" x14ac:dyDescent="0.25">
      <c r="C402" s="46"/>
      <c r="D402" s="23"/>
      <c r="E402" s="23"/>
      <c r="F402" s="23"/>
      <c r="G402" s="23"/>
      <c r="H402" s="23"/>
      <c r="I402" s="23"/>
      <c r="J402" s="23"/>
      <c r="K402" s="23"/>
      <c r="L402" s="23"/>
      <c r="M402" s="23"/>
      <c r="N402" s="23"/>
      <c r="O402" s="23"/>
      <c r="P402" s="23"/>
      <c r="Q402" s="23"/>
      <c r="R402" s="23"/>
      <c r="S402" s="23"/>
      <c r="T402" s="23"/>
      <c r="U402" s="48"/>
    </row>
    <row r="403" spans="3:21" x14ac:dyDescent="0.25">
      <c r="C403" s="46"/>
      <c r="D403" s="23"/>
      <c r="E403" s="23"/>
      <c r="F403" s="23"/>
      <c r="G403" s="23"/>
      <c r="H403" s="23"/>
      <c r="I403" s="23"/>
      <c r="J403" s="23"/>
      <c r="K403" s="23"/>
      <c r="L403" s="23"/>
      <c r="M403" s="23"/>
      <c r="N403" s="23"/>
      <c r="O403" s="23"/>
      <c r="P403" s="23"/>
      <c r="Q403" s="23"/>
      <c r="R403" s="23"/>
      <c r="S403" s="23"/>
      <c r="T403" s="23"/>
      <c r="U403" s="48"/>
    </row>
    <row r="404" spans="3:21" x14ac:dyDescent="0.25">
      <c r="C404" s="46"/>
      <c r="D404" s="23"/>
      <c r="E404" s="23"/>
      <c r="F404" s="23"/>
      <c r="G404" s="23"/>
      <c r="H404" s="23"/>
      <c r="I404" s="23"/>
      <c r="J404" s="23"/>
      <c r="K404" s="23"/>
      <c r="L404" s="23"/>
      <c r="M404" s="23"/>
      <c r="N404" s="23"/>
      <c r="O404" s="23"/>
      <c r="P404" s="23"/>
      <c r="Q404" s="23"/>
      <c r="R404" s="23"/>
      <c r="S404" s="23"/>
      <c r="T404" s="23"/>
      <c r="U404" s="48"/>
    </row>
    <row r="405" spans="3:21" x14ac:dyDescent="0.25">
      <c r="C405" s="46"/>
      <c r="D405" s="23"/>
      <c r="E405" s="23"/>
      <c r="F405" s="23"/>
      <c r="G405" s="23"/>
      <c r="H405" s="23"/>
      <c r="I405" s="23"/>
      <c r="J405" s="23"/>
      <c r="K405" s="23"/>
      <c r="L405" s="23"/>
      <c r="M405" s="23"/>
      <c r="N405" s="23"/>
      <c r="O405" s="23"/>
      <c r="P405" s="23"/>
      <c r="Q405" s="23"/>
      <c r="R405" s="23"/>
      <c r="S405" s="23"/>
      <c r="T405" s="23"/>
      <c r="U405" s="48"/>
    </row>
    <row r="406" spans="3:21" x14ac:dyDescent="0.25">
      <c r="C406" s="46"/>
      <c r="D406" s="23"/>
      <c r="E406" s="23"/>
      <c r="F406" s="23"/>
      <c r="G406" s="23"/>
      <c r="H406" s="23"/>
      <c r="I406" s="23"/>
      <c r="J406" s="23"/>
      <c r="K406" s="23"/>
      <c r="L406" s="23"/>
      <c r="M406" s="23"/>
      <c r="N406" s="23"/>
      <c r="O406" s="23"/>
      <c r="P406" s="23"/>
      <c r="Q406" s="23"/>
      <c r="R406" s="23"/>
      <c r="S406" s="23"/>
      <c r="T406" s="23"/>
      <c r="U406" s="48"/>
    </row>
    <row r="407" spans="3:21" x14ac:dyDescent="0.25">
      <c r="C407" s="46"/>
      <c r="D407" s="23"/>
      <c r="E407" s="23"/>
      <c r="F407" s="23"/>
      <c r="G407" s="23"/>
      <c r="H407" s="23"/>
      <c r="I407" s="23"/>
      <c r="J407" s="23"/>
      <c r="K407" s="23"/>
      <c r="L407" s="23"/>
      <c r="M407" s="23"/>
      <c r="N407" s="23"/>
      <c r="O407" s="23"/>
      <c r="P407" s="23"/>
      <c r="Q407" s="23"/>
      <c r="R407" s="23"/>
      <c r="S407" s="23"/>
      <c r="T407" s="23"/>
      <c r="U407" s="48"/>
    </row>
    <row r="408" spans="3:21" x14ac:dyDescent="0.25">
      <c r="C408" s="46"/>
      <c r="D408" s="23"/>
      <c r="E408" s="23"/>
      <c r="F408" s="23"/>
      <c r="G408" s="23"/>
      <c r="H408" s="23"/>
      <c r="I408" s="23"/>
      <c r="J408" s="23"/>
      <c r="K408" s="23"/>
      <c r="L408" s="23"/>
      <c r="M408" s="23"/>
      <c r="N408" s="23"/>
      <c r="O408" s="23"/>
      <c r="P408" s="23"/>
      <c r="Q408" s="23"/>
      <c r="R408" s="23"/>
      <c r="S408" s="23"/>
      <c r="T408" s="23"/>
      <c r="U408" s="48"/>
    </row>
    <row r="409" spans="3:21" x14ac:dyDescent="0.25">
      <c r="C409" s="46"/>
      <c r="D409" s="23"/>
      <c r="E409" s="23"/>
      <c r="F409" s="23"/>
      <c r="G409" s="23"/>
      <c r="H409" s="23"/>
      <c r="I409" s="23"/>
      <c r="J409" s="23"/>
      <c r="K409" s="23"/>
      <c r="L409" s="23"/>
      <c r="M409" s="23"/>
      <c r="N409" s="23"/>
      <c r="O409" s="23"/>
      <c r="P409" s="23"/>
      <c r="Q409" s="23"/>
      <c r="R409" s="23"/>
      <c r="S409" s="23"/>
      <c r="T409" s="23"/>
      <c r="U409" s="48"/>
    </row>
    <row r="410" spans="3:21" x14ac:dyDescent="0.25">
      <c r="C410" s="46"/>
      <c r="D410" s="23"/>
      <c r="E410" s="23"/>
      <c r="F410" s="23"/>
      <c r="G410" s="23"/>
      <c r="H410" s="23"/>
      <c r="I410" s="23"/>
      <c r="J410" s="23"/>
      <c r="K410" s="23"/>
      <c r="L410" s="23"/>
      <c r="M410" s="23"/>
      <c r="N410" s="23"/>
      <c r="O410" s="23"/>
      <c r="P410" s="23"/>
      <c r="Q410" s="23"/>
      <c r="R410" s="23"/>
      <c r="S410" s="23"/>
      <c r="T410" s="23"/>
      <c r="U410" s="48"/>
    </row>
    <row r="411" spans="3:21" x14ac:dyDescent="0.25">
      <c r="C411" s="46"/>
      <c r="D411" s="23"/>
      <c r="E411" s="23"/>
      <c r="F411" s="23"/>
      <c r="G411" s="23"/>
      <c r="H411" s="23"/>
      <c r="I411" s="23"/>
      <c r="J411" s="23"/>
      <c r="K411" s="23"/>
      <c r="L411" s="23"/>
      <c r="M411" s="23"/>
      <c r="N411" s="23"/>
      <c r="O411" s="23"/>
      <c r="P411" s="23"/>
      <c r="Q411" s="23"/>
      <c r="R411" s="23"/>
      <c r="S411" s="23"/>
      <c r="T411" s="23"/>
      <c r="U411" s="48"/>
    </row>
    <row r="412" spans="3:21" x14ac:dyDescent="0.25">
      <c r="C412" s="46"/>
      <c r="D412" s="23"/>
      <c r="E412" s="23"/>
      <c r="F412" s="23"/>
      <c r="G412" s="23"/>
      <c r="H412" s="23"/>
      <c r="I412" s="23"/>
      <c r="J412" s="23"/>
      <c r="K412" s="23"/>
      <c r="L412" s="23"/>
      <c r="M412" s="23"/>
      <c r="N412" s="23"/>
      <c r="O412" s="23"/>
      <c r="P412" s="23"/>
      <c r="Q412" s="23"/>
      <c r="R412" s="23"/>
      <c r="S412" s="23"/>
      <c r="T412" s="23"/>
      <c r="U412" s="48"/>
    </row>
    <row r="413" spans="3:21" x14ac:dyDescent="0.25">
      <c r="C413" s="46"/>
      <c r="D413" s="23"/>
      <c r="E413" s="23"/>
      <c r="F413" s="23"/>
      <c r="G413" s="23"/>
      <c r="H413" s="23"/>
      <c r="I413" s="23"/>
      <c r="J413" s="23"/>
      <c r="K413" s="23"/>
      <c r="L413" s="23"/>
      <c r="M413" s="23"/>
      <c r="N413" s="23"/>
      <c r="O413" s="23"/>
      <c r="P413" s="23"/>
      <c r="Q413" s="23"/>
      <c r="R413" s="23"/>
      <c r="S413" s="23"/>
      <c r="T413" s="23"/>
      <c r="U413" s="48"/>
    </row>
    <row r="414" spans="3:21" x14ac:dyDescent="0.25">
      <c r="C414" s="46"/>
      <c r="D414" s="23"/>
      <c r="E414" s="23"/>
      <c r="F414" s="23"/>
      <c r="G414" s="23"/>
      <c r="H414" s="23"/>
      <c r="I414" s="23"/>
      <c r="J414" s="23"/>
      <c r="K414" s="23"/>
      <c r="L414" s="23"/>
      <c r="M414" s="23"/>
      <c r="N414" s="23"/>
      <c r="O414" s="23"/>
      <c r="P414" s="23"/>
      <c r="Q414" s="23"/>
      <c r="R414" s="23"/>
      <c r="S414" s="23"/>
      <c r="T414" s="23"/>
      <c r="U414" s="48"/>
    </row>
    <row r="415" spans="3:21" x14ac:dyDescent="0.25">
      <c r="C415" s="46"/>
      <c r="D415" s="23"/>
      <c r="E415" s="23"/>
      <c r="F415" s="23"/>
      <c r="G415" s="23"/>
      <c r="H415" s="23"/>
      <c r="I415" s="23"/>
      <c r="J415" s="23"/>
      <c r="K415" s="23"/>
      <c r="L415" s="23"/>
      <c r="M415" s="23"/>
      <c r="N415" s="23"/>
      <c r="O415" s="23"/>
      <c r="P415" s="23"/>
      <c r="Q415" s="23"/>
      <c r="R415" s="23"/>
      <c r="S415" s="23"/>
      <c r="T415" s="23"/>
      <c r="U415" s="48"/>
    </row>
    <row r="416" spans="3:21" x14ac:dyDescent="0.25">
      <c r="C416" s="46"/>
      <c r="D416" s="23"/>
      <c r="E416" s="23"/>
      <c r="F416" s="23"/>
      <c r="G416" s="23"/>
      <c r="H416" s="23"/>
      <c r="I416" s="23"/>
      <c r="J416" s="23"/>
      <c r="K416" s="23"/>
      <c r="L416" s="23"/>
      <c r="M416" s="23"/>
      <c r="N416" s="23"/>
      <c r="O416" s="23"/>
      <c r="P416" s="23"/>
      <c r="Q416" s="23"/>
      <c r="R416" s="23"/>
      <c r="S416" s="23"/>
      <c r="T416" s="23"/>
      <c r="U416" s="48"/>
    </row>
    <row r="417" spans="3:21" x14ac:dyDescent="0.25">
      <c r="C417" s="46"/>
      <c r="D417" s="23"/>
      <c r="E417" s="23"/>
      <c r="F417" s="23"/>
      <c r="G417" s="23"/>
      <c r="H417" s="23"/>
      <c r="I417" s="23"/>
      <c r="J417" s="23"/>
      <c r="K417" s="23"/>
      <c r="L417" s="23"/>
      <c r="M417" s="23"/>
      <c r="N417" s="23"/>
      <c r="O417" s="23"/>
      <c r="P417" s="23"/>
      <c r="Q417" s="23"/>
      <c r="R417" s="23"/>
      <c r="S417" s="23"/>
      <c r="T417" s="23"/>
      <c r="U417" s="48"/>
    </row>
    <row r="418" spans="3:21" x14ac:dyDescent="0.25">
      <c r="C418" s="46"/>
      <c r="D418" s="23"/>
      <c r="E418" s="23"/>
      <c r="F418" s="23"/>
      <c r="G418" s="23"/>
      <c r="H418" s="23"/>
      <c r="I418" s="23"/>
      <c r="J418" s="23"/>
      <c r="K418" s="23"/>
      <c r="L418" s="23"/>
      <c r="M418" s="23"/>
      <c r="N418" s="23"/>
      <c r="O418" s="23"/>
      <c r="P418" s="23"/>
      <c r="Q418" s="23"/>
      <c r="R418" s="23"/>
      <c r="S418" s="23"/>
      <c r="T418" s="23"/>
      <c r="U418" s="48"/>
    </row>
    <row r="419" spans="3:21" x14ac:dyDescent="0.25">
      <c r="C419" s="46"/>
      <c r="D419" s="23"/>
      <c r="E419" s="23"/>
      <c r="F419" s="23"/>
      <c r="G419" s="23"/>
      <c r="H419" s="23"/>
      <c r="I419" s="23"/>
      <c r="J419" s="23"/>
      <c r="K419" s="23"/>
      <c r="L419" s="23"/>
      <c r="M419" s="23"/>
      <c r="N419" s="23"/>
      <c r="O419" s="23"/>
      <c r="P419" s="23"/>
      <c r="Q419" s="23"/>
      <c r="R419" s="23"/>
      <c r="S419" s="23"/>
      <c r="T419" s="23"/>
      <c r="U419" s="48"/>
    </row>
    <row r="420" spans="3:21" x14ac:dyDescent="0.25">
      <c r="C420" s="46"/>
      <c r="D420" s="23"/>
      <c r="E420" s="23"/>
      <c r="F420" s="23"/>
      <c r="G420" s="23"/>
      <c r="H420" s="23"/>
      <c r="I420" s="23"/>
      <c r="J420" s="23"/>
      <c r="K420" s="23"/>
      <c r="L420" s="23"/>
      <c r="M420" s="23"/>
      <c r="N420" s="23"/>
      <c r="O420" s="23"/>
      <c r="P420" s="23"/>
      <c r="Q420" s="23"/>
      <c r="R420" s="23"/>
      <c r="S420" s="23"/>
      <c r="T420" s="23"/>
      <c r="U420" s="48"/>
    </row>
    <row r="421" spans="3:21" x14ac:dyDescent="0.25">
      <c r="C421" s="46"/>
      <c r="D421" s="23"/>
      <c r="E421" s="23"/>
      <c r="F421" s="23"/>
      <c r="G421" s="23"/>
      <c r="H421" s="23"/>
      <c r="I421" s="23"/>
      <c r="J421" s="23"/>
      <c r="K421" s="23"/>
      <c r="L421" s="23"/>
      <c r="M421" s="23"/>
      <c r="N421" s="23"/>
      <c r="O421" s="23"/>
      <c r="P421" s="23"/>
      <c r="Q421" s="23"/>
      <c r="R421" s="23"/>
      <c r="S421" s="23"/>
      <c r="T421" s="23"/>
      <c r="U421" s="48"/>
    </row>
    <row r="422" spans="3:21" x14ac:dyDescent="0.25">
      <c r="C422" s="46"/>
      <c r="D422" s="23"/>
      <c r="E422" s="23"/>
      <c r="F422" s="23"/>
      <c r="G422" s="23"/>
      <c r="H422" s="23"/>
      <c r="I422" s="23"/>
      <c r="J422" s="23"/>
      <c r="K422" s="23"/>
      <c r="L422" s="23"/>
      <c r="M422" s="23"/>
      <c r="N422" s="23"/>
      <c r="O422" s="23"/>
      <c r="P422" s="23"/>
      <c r="Q422" s="23"/>
      <c r="R422" s="23"/>
      <c r="S422" s="23"/>
      <c r="T422" s="23"/>
      <c r="U422" s="48"/>
    </row>
    <row r="423" spans="3:21" x14ac:dyDescent="0.25">
      <c r="C423" s="46"/>
      <c r="D423" s="23"/>
      <c r="E423" s="23"/>
      <c r="F423" s="23"/>
      <c r="G423" s="23"/>
      <c r="H423" s="23"/>
      <c r="I423" s="23"/>
      <c r="J423" s="23"/>
      <c r="K423" s="23"/>
      <c r="L423" s="23"/>
      <c r="M423" s="23"/>
      <c r="N423" s="23"/>
      <c r="O423" s="23"/>
      <c r="P423" s="23"/>
      <c r="Q423" s="23"/>
      <c r="R423" s="23"/>
      <c r="S423" s="23"/>
      <c r="T423" s="23"/>
      <c r="U423" s="48"/>
    </row>
    <row r="424" spans="3:21" x14ac:dyDescent="0.25">
      <c r="C424" s="46"/>
      <c r="D424" s="23"/>
      <c r="E424" s="23"/>
      <c r="F424" s="23"/>
      <c r="G424" s="23"/>
      <c r="H424" s="23"/>
      <c r="I424" s="23"/>
      <c r="J424" s="23"/>
      <c r="K424" s="23"/>
      <c r="L424" s="23"/>
      <c r="M424" s="23"/>
      <c r="N424" s="23"/>
      <c r="O424" s="23"/>
      <c r="P424" s="23"/>
      <c r="Q424" s="23"/>
      <c r="R424" s="23"/>
      <c r="S424" s="23"/>
      <c r="T424" s="23"/>
      <c r="U424" s="48"/>
    </row>
    <row r="425" spans="3:21" x14ac:dyDescent="0.25">
      <c r="C425" s="46"/>
      <c r="D425" s="23"/>
      <c r="E425" s="23"/>
      <c r="F425" s="23"/>
      <c r="G425" s="23"/>
      <c r="H425" s="23"/>
      <c r="I425" s="23"/>
      <c r="J425" s="23"/>
      <c r="K425" s="23"/>
      <c r="L425" s="23"/>
      <c r="M425" s="23"/>
      <c r="N425" s="23"/>
      <c r="O425" s="23"/>
      <c r="P425" s="23"/>
      <c r="Q425" s="23"/>
      <c r="R425" s="23"/>
      <c r="S425" s="23"/>
      <c r="T425" s="23"/>
      <c r="U425" s="48"/>
    </row>
    <row r="426" spans="3:21" x14ac:dyDescent="0.25">
      <c r="C426" s="46"/>
      <c r="D426" s="23"/>
      <c r="E426" s="23"/>
      <c r="F426" s="23"/>
      <c r="G426" s="23"/>
      <c r="H426" s="23"/>
      <c r="I426" s="23"/>
      <c r="J426" s="23"/>
      <c r="K426" s="23"/>
      <c r="L426" s="23"/>
      <c r="M426" s="23"/>
      <c r="N426" s="23"/>
      <c r="O426" s="23"/>
      <c r="P426" s="23"/>
      <c r="Q426" s="23"/>
      <c r="R426" s="23"/>
      <c r="S426" s="23"/>
      <c r="T426" s="23"/>
      <c r="U426" s="48"/>
    </row>
    <row r="427" spans="3:21" x14ac:dyDescent="0.25">
      <c r="C427" s="46"/>
      <c r="D427" s="23"/>
      <c r="E427" s="23"/>
      <c r="F427" s="23"/>
      <c r="G427" s="23"/>
      <c r="H427" s="23"/>
      <c r="I427" s="23"/>
      <c r="J427" s="23"/>
      <c r="K427" s="23"/>
      <c r="L427" s="23"/>
      <c r="M427" s="23"/>
      <c r="N427" s="23"/>
      <c r="O427" s="23"/>
      <c r="P427" s="23"/>
      <c r="Q427" s="23"/>
      <c r="R427" s="23"/>
      <c r="S427" s="23"/>
      <c r="T427" s="23"/>
      <c r="U427" s="48"/>
    </row>
    <row r="428" spans="3:21" x14ac:dyDescent="0.25">
      <c r="C428" s="46"/>
      <c r="D428" s="23"/>
      <c r="E428" s="23"/>
      <c r="F428" s="23"/>
      <c r="G428" s="23"/>
      <c r="H428" s="23"/>
      <c r="I428" s="23"/>
      <c r="J428" s="23"/>
      <c r="K428" s="23"/>
      <c r="L428" s="23"/>
      <c r="M428" s="23"/>
      <c r="N428" s="23"/>
      <c r="O428" s="23"/>
      <c r="P428" s="23"/>
      <c r="Q428" s="23"/>
      <c r="R428" s="23"/>
      <c r="S428" s="23"/>
      <c r="T428" s="23"/>
      <c r="U428" s="48"/>
    </row>
    <row r="429" spans="3:21" x14ac:dyDescent="0.25">
      <c r="C429" s="46"/>
      <c r="D429" s="23"/>
      <c r="E429" s="23"/>
      <c r="F429" s="23"/>
      <c r="G429" s="23"/>
      <c r="H429" s="23"/>
      <c r="I429" s="23"/>
      <c r="J429" s="23"/>
      <c r="K429" s="23"/>
      <c r="L429" s="23"/>
      <c r="M429" s="23"/>
      <c r="N429" s="23"/>
      <c r="O429" s="23"/>
      <c r="P429" s="23"/>
      <c r="Q429" s="23"/>
      <c r="R429" s="23"/>
      <c r="S429" s="23"/>
      <c r="T429" s="23"/>
      <c r="U429" s="48"/>
    </row>
    <row r="430" spans="3:21" x14ac:dyDescent="0.25">
      <c r="C430" s="46"/>
      <c r="D430" s="23"/>
      <c r="E430" s="23"/>
      <c r="F430" s="23"/>
      <c r="G430" s="23"/>
      <c r="H430" s="23"/>
      <c r="I430" s="23"/>
      <c r="J430" s="23"/>
      <c r="K430" s="23"/>
      <c r="L430" s="23"/>
      <c r="M430" s="23"/>
      <c r="N430" s="23"/>
      <c r="O430" s="23"/>
      <c r="P430" s="23"/>
      <c r="Q430" s="23"/>
      <c r="R430" s="23"/>
      <c r="S430" s="23"/>
      <c r="T430" s="23"/>
      <c r="U430" s="48"/>
    </row>
    <row r="431" spans="3:21" x14ac:dyDescent="0.25">
      <c r="C431" s="46"/>
      <c r="D431" s="23"/>
      <c r="E431" s="23"/>
      <c r="F431" s="23"/>
      <c r="G431" s="23"/>
      <c r="H431" s="23"/>
      <c r="I431" s="23"/>
      <c r="J431" s="23"/>
      <c r="K431" s="23"/>
      <c r="L431" s="23"/>
      <c r="M431" s="23"/>
      <c r="N431" s="23"/>
      <c r="O431" s="23"/>
      <c r="P431" s="23"/>
      <c r="Q431" s="23"/>
      <c r="R431" s="23"/>
      <c r="S431" s="23"/>
      <c r="T431" s="23"/>
      <c r="U431" s="48"/>
    </row>
    <row r="432" spans="3:21" x14ac:dyDescent="0.25">
      <c r="C432" s="46"/>
      <c r="D432" s="23"/>
      <c r="E432" s="23"/>
      <c r="F432" s="23"/>
      <c r="G432" s="23"/>
      <c r="H432" s="23"/>
      <c r="I432" s="23"/>
      <c r="J432" s="23"/>
      <c r="K432" s="23"/>
      <c r="L432" s="23"/>
      <c r="M432" s="23"/>
      <c r="N432" s="23"/>
      <c r="O432" s="23"/>
      <c r="P432" s="23"/>
      <c r="Q432" s="23"/>
      <c r="R432" s="23"/>
      <c r="S432" s="23"/>
      <c r="T432" s="23"/>
      <c r="U432" s="48"/>
    </row>
    <row r="433" spans="3:21" x14ac:dyDescent="0.25">
      <c r="C433" s="46"/>
      <c r="D433" s="23"/>
      <c r="E433" s="23"/>
      <c r="F433" s="23"/>
      <c r="G433" s="23"/>
      <c r="H433" s="23"/>
      <c r="I433" s="23"/>
      <c r="J433" s="23"/>
      <c r="K433" s="23"/>
      <c r="L433" s="23"/>
      <c r="M433" s="23"/>
      <c r="N433" s="23"/>
      <c r="O433" s="23"/>
      <c r="P433" s="23"/>
      <c r="Q433" s="23"/>
      <c r="R433" s="23"/>
      <c r="S433" s="23"/>
      <c r="T433" s="23"/>
      <c r="U433" s="48"/>
    </row>
    <row r="434" spans="3:21" x14ac:dyDescent="0.25">
      <c r="C434" s="46"/>
      <c r="D434" s="23"/>
      <c r="E434" s="23"/>
      <c r="F434" s="23"/>
      <c r="G434" s="23"/>
      <c r="H434" s="23"/>
      <c r="I434" s="23"/>
      <c r="J434" s="23"/>
      <c r="K434" s="23"/>
      <c r="L434" s="23"/>
      <c r="M434" s="23"/>
      <c r="N434" s="23"/>
      <c r="O434" s="23"/>
      <c r="P434" s="23"/>
      <c r="Q434" s="23"/>
      <c r="R434" s="23"/>
      <c r="S434" s="23"/>
      <c r="T434" s="23"/>
      <c r="U434" s="48"/>
    </row>
    <row r="435" spans="3:21" x14ac:dyDescent="0.25">
      <c r="C435" s="46"/>
      <c r="D435" s="23"/>
      <c r="E435" s="23"/>
      <c r="F435" s="23"/>
      <c r="G435" s="23"/>
      <c r="H435" s="23"/>
      <c r="I435" s="23"/>
      <c r="J435" s="23"/>
      <c r="K435" s="23"/>
      <c r="L435" s="23"/>
      <c r="M435" s="23"/>
      <c r="N435" s="23"/>
      <c r="O435" s="23"/>
      <c r="P435" s="23"/>
      <c r="Q435" s="23"/>
      <c r="R435" s="23"/>
      <c r="S435" s="23"/>
      <c r="T435" s="23"/>
      <c r="U435" s="48"/>
    </row>
    <row r="436" spans="3:21" x14ac:dyDescent="0.25">
      <c r="C436" s="46"/>
      <c r="D436" s="23"/>
      <c r="E436" s="23"/>
      <c r="F436" s="23"/>
      <c r="G436" s="23"/>
      <c r="H436" s="23"/>
      <c r="I436" s="23"/>
      <c r="J436" s="23"/>
      <c r="K436" s="23"/>
      <c r="L436" s="23"/>
      <c r="M436" s="23"/>
      <c r="N436" s="23"/>
      <c r="O436" s="23"/>
      <c r="P436" s="23"/>
      <c r="Q436" s="23"/>
      <c r="R436" s="23"/>
      <c r="S436" s="23"/>
      <c r="T436" s="23"/>
      <c r="U436" s="48"/>
    </row>
    <row r="437" spans="3:21" x14ac:dyDescent="0.25">
      <c r="C437" s="46"/>
      <c r="D437" s="23"/>
      <c r="E437" s="23"/>
      <c r="F437" s="23"/>
      <c r="G437" s="23"/>
      <c r="H437" s="23"/>
      <c r="I437" s="23"/>
      <c r="J437" s="23"/>
      <c r="K437" s="23"/>
      <c r="L437" s="23"/>
      <c r="M437" s="23"/>
      <c r="N437" s="23"/>
      <c r="O437" s="23"/>
      <c r="P437" s="23"/>
      <c r="Q437" s="23"/>
      <c r="R437" s="23"/>
      <c r="S437" s="23"/>
      <c r="T437" s="23"/>
      <c r="U437" s="48"/>
    </row>
    <row r="438" spans="3:21" x14ac:dyDescent="0.25">
      <c r="C438" s="46"/>
      <c r="D438" s="23"/>
      <c r="E438" s="23"/>
      <c r="F438" s="23"/>
      <c r="G438" s="23"/>
      <c r="H438" s="23"/>
      <c r="I438" s="23"/>
      <c r="J438" s="23"/>
      <c r="K438" s="23"/>
      <c r="L438" s="23"/>
      <c r="M438" s="23"/>
      <c r="N438" s="23"/>
      <c r="O438" s="23"/>
      <c r="P438" s="23"/>
      <c r="Q438" s="23"/>
      <c r="R438" s="23"/>
      <c r="S438" s="23"/>
      <c r="T438" s="23"/>
      <c r="U438" s="48"/>
    </row>
    <row r="439" spans="3:21" x14ac:dyDescent="0.25">
      <c r="C439" s="46"/>
      <c r="D439" s="23"/>
      <c r="E439" s="23"/>
      <c r="F439" s="23"/>
      <c r="G439" s="23"/>
      <c r="H439" s="23"/>
      <c r="I439" s="23"/>
      <c r="J439" s="23"/>
      <c r="K439" s="23"/>
      <c r="L439" s="23"/>
      <c r="M439" s="23"/>
      <c r="N439" s="23"/>
      <c r="O439" s="23"/>
      <c r="P439" s="23"/>
      <c r="Q439" s="23"/>
      <c r="R439" s="23"/>
      <c r="S439" s="23"/>
      <c r="T439" s="23"/>
      <c r="U439" s="48"/>
    </row>
    <row r="440" spans="3:21" x14ac:dyDescent="0.25">
      <c r="C440" s="46"/>
      <c r="D440" s="23"/>
      <c r="E440" s="23"/>
      <c r="F440" s="23"/>
      <c r="G440" s="23"/>
      <c r="H440" s="23"/>
      <c r="I440" s="23"/>
      <c r="J440" s="23"/>
      <c r="K440" s="23"/>
      <c r="L440" s="23"/>
      <c r="M440" s="23"/>
      <c r="N440" s="23"/>
      <c r="O440" s="23"/>
      <c r="P440" s="23"/>
      <c r="Q440" s="23"/>
      <c r="R440" s="23"/>
      <c r="S440" s="23"/>
      <c r="T440" s="23"/>
      <c r="U440" s="48"/>
    </row>
    <row r="441" spans="3:21" x14ac:dyDescent="0.25">
      <c r="C441" s="46"/>
      <c r="D441" s="23"/>
      <c r="E441" s="23"/>
      <c r="F441" s="23"/>
      <c r="G441" s="23"/>
      <c r="H441" s="23"/>
      <c r="I441" s="23"/>
      <c r="J441" s="23"/>
      <c r="K441" s="23"/>
      <c r="L441" s="23"/>
      <c r="M441" s="23"/>
      <c r="N441" s="23"/>
      <c r="O441" s="23"/>
      <c r="P441" s="23"/>
      <c r="Q441" s="23"/>
      <c r="R441" s="23"/>
      <c r="S441" s="23"/>
      <c r="T441" s="23"/>
      <c r="U441" s="48"/>
    </row>
    <row r="442" spans="3:21" x14ac:dyDescent="0.25">
      <c r="C442" s="46"/>
      <c r="D442" s="23"/>
      <c r="E442" s="23"/>
      <c r="F442" s="23"/>
      <c r="G442" s="23"/>
      <c r="H442" s="23"/>
      <c r="I442" s="23"/>
      <c r="J442" s="23"/>
      <c r="K442" s="23"/>
      <c r="L442" s="23"/>
      <c r="M442" s="23"/>
      <c r="N442" s="23"/>
      <c r="O442" s="23"/>
      <c r="P442" s="23"/>
      <c r="Q442" s="23"/>
      <c r="R442" s="23"/>
      <c r="S442" s="23"/>
      <c r="T442" s="23"/>
      <c r="U442" s="48"/>
    </row>
    <row r="443" spans="3:21" ht="15.75" x14ac:dyDescent="0.25">
      <c r="C443" s="46"/>
      <c r="D443" s="23"/>
      <c r="E443" s="23"/>
      <c r="F443" s="51" t="s">
        <v>249</v>
      </c>
      <c r="G443" s="23"/>
      <c r="H443" s="23"/>
      <c r="I443" s="23"/>
      <c r="J443" s="23"/>
      <c r="K443" s="23"/>
      <c r="L443" s="23"/>
      <c r="M443" s="23"/>
      <c r="N443" s="23"/>
      <c r="O443" s="23"/>
      <c r="P443" s="23"/>
      <c r="Q443" s="23"/>
      <c r="R443" s="23"/>
      <c r="S443" s="23"/>
      <c r="T443" s="23"/>
      <c r="U443" s="48"/>
    </row>
    <row r="444" spans="3:21" x14ac:dyDescent="0.25">
      <c r="C444" s="46"/>
      <c r="D444" s="23"/>
      <c r="E444" s="23"/>
      <c r="F444" s="23"/>
      <c r="G444" s="23"/>
      <c r="H444" s="23"/>
      <c r="I444" s="23"/>
      <c r="J444" s="23"/>
      <c r="K444" s="23"/>
      <c r="L444" s="23"/>
      <c r="M444" s="23"/>
      <c r="N444" s="23"/>
      <c r="O444" s="23"/>
      <c r="P444" s="23"/>
      <c r="Q444" s="23"/>
      <c r="R444" s="23"/>
      <c r="S444" s="23"/>
      <c r="T444" s="23"/>
      <c r="U444" s="48"/>
    </row>
    <row r="445" spans="3:21" x14ac:dyDescent="0.25">
      <c r="C445" s="46"/>
      <c r="D445" s="23"/>
      <c r="E445" s="23"/>
      <c r="F445" s="23"/>
      <c r="G445" s="23"/>
      <c r="H445" s="23"/>
      <c r="I445" s="23"/>
      <c r="J445" s="23"/>
      <c r="K445" s="23"/>
      <c r="L445" s="23"/>
      <c r="M445" s="23"/>
      <c r="N445" s="23"/>
      <c r="O445" s="23"/>
      <c r="P445" s="23"/>
      <c r="Q445" s="23"/>
      <c r="R445" s="23"/>
      <c r="S445" s="23"/>
      <c r="T445" s="23"/>
      <c r="U445" s="48"/>
    </row>
    <row r="446" spans="3:21" x14ac:dyDescent="0.25">
      <c r="C446" s="46"/>
      <c r="D446" s="23"/>
      <c r="E446" s="23"/>
      <c r="F446" s="23"/>
      <c r="G446" s="23"/>
      <c r="H446" s="23"/>
      <c r="I446" s="23"/>
      <c r="J446" s="23"/>
      <c r="K446" s="23"/>
      <c r="L446" s="23"/>
      <c r="M446" s="23"/>
      <c r="N446" s="23"/>
      <c r="O446" s="23"/>
      <c r="P446" s="23"/>
      <c r="Q446" s="23"/>
      <c r="R446" s="23"/>
      <c r="S446" s="23"/>
      <c r="T446" s="23"/>
      <c r="U446" s="48"/>
    </row>
    <row r="447" spans="3:21" x14ac:dyDescent="0.25">
      <c r="C447" s="46"/>
      <c r="D447" s="23"/>
      <c r="E447" s="23"/>
      <c r="F447" s="23"/>
      <c r="G447" s="23"/>
      <c r="H447" s="23"/>
      <c r="I447" s="23"/>
      <c r="J447" s="23"/>
      <c r="K447" s="23"/>
      <c r="L447" s="23"/>
      <c r="M447" s="23"/>
      <c r="N447" s="23"/>
      <c r="O447" s="23"/>
      <c r="P447" s="23"/>
      <c r="Q447" s="23"/>
      <c r="R447" s="23"/>
      <c r="S447" s="23"/>
      <c r="T447" s="23"/>
      <c r="U447" s="48"/>
    </row>
    <row r="448" spans="3:21" x14ac:dyDescent="0.25">
      <c r="C448" s="46"/>
      <c r="D448" s="23"/>
      <c r="E448" s="23"/>
      <c r="F448" s="23"/>
      <c r="G448" s="23"/>
      <c r="H448" s="23"/>
      <c r="I448" s="23"/>
      <c r="J448" s="23"/>
      <c r="K448" s="23"/>
      <c r="L448" s="23"/>
      <c r="M448" s="23"/>
      <c r="N448" s="23"/>
      <c r="O448" s="23"/>
      <c r="P448" s="23"/>
      <c r="Q448" s="23"/>
      <c r="R448" s="23"/>
      <c r="S448" s="23"/>
      <c r="T448" s="23"/>
      <c r="U448" s="48"/>
    </row>
    <row r="449" spans="3:21" x14ac:dyDescent="0.25">
      <c r="C449" s="46"/>
      <c r="D449" s="23"/>
      <c r="E449" s="23"/>
      <c r="F449" s="23"/>
      <c r="G449" s="23"/>
      <c r="H449" s="23"/>
      <c r="I449" s="23"/>
      <c r="J449" s="23"/>
      <c r="K449" s="23"/>
      <c r="L449" s="23"/>
      <c r="M449" s="23"/>
      <c r="N449" s="23"/>
      <c r="O449" s="23"/>
      <c r="P449" s="23"/>
      <c r="Q449" s="23"/>
      <c r="R449" s="23"/>
      <c r="S449" s="23"/>
      <c r="T449" s="23"/>
      <c r="U449" s="48"/>
    </row>
    <row r="450" spans="3:21" x14ac:dyDescent="0.25">
      <c r="C450" s="46"/>
      <c r="D450" s="23"/>
      <c r="E450" s="23"/>
      <c r="F450" s="23"/>
      <c r="G450" s="23"/>
      <c r="H450" s="23"/>
      <c r="I450" s="23"/>
      <c r="J450" s="23"/>
      <c r="K450" s="23"/>
      <c r="L450" s="23"/>
      <c r="M450" s="23"/>
      <c r="N450" s="23"/>
      <c r="O450" s="23"/>
      <c r="P450" s="23"/>
      <c r="Q450" s="23"/>
      <c r="R450" s="23"/>
      <c r="S450" s="23"/>
      <c r="T450" s="23"/>
      <c r="U450" s="48"/>
    </row>
    <row r="451" spans="3:21" x14ac:dyDescent="0.25">
      <c r="C451" s="46"/>
      <c r="D451" s="23"/>
      <c r="E451" s="23"/>
      <c r="F451" s="23"/>
      <c r="G451" s="23"/>
      <c r="H451" s="23"/>
      <c r="I451" s="23"/>
      <c r="J451" s="23"/>
      <c r="K451" s="23"/>
      <c r="L451" s="23"/>
      <c r="M451" s="23"/>
      <c r="N451" s="23"/>
      <c r="O451" s="23"/>
      <c r="P451" s="23"/>
      <c r="Q451" s="23"/>
      <c r="R451" s="23"/>
      <c r="S451" s="23"/>
      <c r="T451" s="23"/>
      <c r="U451" s="48"/>
    </row>
    <row r="452" spans="3:21" x14ac:dyDescent="0.25">
      <c r="C452" s="46"/>
      <c r="D452" s="23"/>
      <c r="E452" s="23"/>
      <c r="F452" s="23"/>
      <c r="G452" s="23"/>
      <c r="H452" s="23"/>
      <c r="I452" s="23"/>
      <c r="J452" s="23"/>
      <c r="K452" s="23"/>
      <c r="L452" s="23"/>
      <c r="M452" s="23"/>
      <c r="N452" s="23"/>
      <c r="O452" s="23"/>
      <c r="P452" s="23"/>
      <c r="Q452" s="23"/>
      <c r="R452" s="23"/>
      <c r="S452" s="23"/>
      <c r="T452" s="23"/>
      <c r="U452" s="48"/>
    </row>
    <row r="453" spans="3:21" x14ac:dyDescent="0.25">
      <c r="C453" s="46"/>
      <c r="D453" s="23"/>
      <c r="E453" s="23"/>
      <c r="F453" s="23"/>
      <c r="G453" s="23"/>
      <c r="H453" s="23"/>
      <c r="I453" s="23"/>
      <c r="J453" s="23"/>
      <c r="K453" s="23"/>
      <c r="L453" s="23"/>
      <c r="M453" s="23"/>
      <c r="N453" s="23"/>
      <c r="O453" s="23"/>
      <c r="P453" s="23"/>
      <c r="Q453" s="23"/>
      <c r="R453" s="23"/>
      <c r="S453" s="23"/>
      <c r="T453" s="23"/>
      <c r="U453" s="48"/>
    </row>
    <row r="454" spans="3:21" x14ac:dyDescent="0.25">
      <c r="C454" s="46"/>
      <c r="D454" s="23"/>
      <c r="E454" s="23"/>
      <c r="F454" s="23"/>
      <c r="G454" s="23"/>
      <c r="H454" s="23"/>
      <c r="I454" s="23"/>
      <c r="J454" s="23"/>
      <c r="K454" s="23"/>
      <c r="L454" s="23"/>
      <c r="M454" s="23"/>
      <c r="N454" s="23"/>
      <c r="O454" s="23"/>
      <c r="P454" s="23"/>
      <c r="Q454" s="23"/>
      <c r="R454" s="23"/>
      <c r="S454" s="23"/>
      <c r="T454" s="23"/>
      <c r="U454" s="48"/>
    </row>
    <row r="455" spans="3:21" x14ac:dyDescent="0.25">
      <c r="C455" s="46"/>
      <c r="D455" s="23"/>
      <c r="E455" s="23"/>
      <c r="F455" s="23"/>
      <c r="G455" s="23"/>
      <c r="H455" s="23"/>
      <c r="I455" s="23"/>
      <c r="J455" s="23"/>
      <c r="K455" s="23"/>
      <c r="L455" s="23"/>
      <c r="M455" s="23"/>
      <c r="N455" s="23"/>
      <c r="O455" s="23"/>
      <c r="P455" s="23"/>
      <c r="Q455" s="23"/>
      <c r="R455" s="23"/>
      <c r="S455" s="23"/>
      <c r="T455" s="23"/>
      <c r="U455" s="48"/>
    </row>
    <row r="456" spans="3:21" x14ac:dyDescent="0.25">
      <c r="C456" s="46"/>
      <c r="D456" s="23"/>
      <c r="E456" s="23"/>
      <c r="F456" s="23"/>
      <c r="G456" s="23"/>
      <c r="H456" s="23"/>
      <c r="I456" s="23"/>
      <c r="J456" s="23"/>
      <c r="K456" s="23"/>
      <c r="L456" s="23"/>
      <c r="M456" s="23"/>
      <c r="N456" s="23"/>
      <c r="O456" s="23"/>
      <c r="P456" s="23"/>
      <c r="Q456" s="23"/>
      <c r="R456" s="23"/>
      <c r="S456" s="23"/>
      <c r="T456" s="23"/>
      <c r="U456" s="48"/>
    </row>
    <row r="457" spans="3:21" x14ac:dyDescent="0.25">
      <c r="C457" s="46"/>
      <c r="D457" s="23"/>
      <c r="E457" s="23"/>
      <c r="F457" s="23"/>
      <c r="G457" s="23"/>
      <c r="H457" s="23"/>
      <c r="I457" s="23"/>
      <c r="J457" s="23"/>
      <c r="K457" s="23"/>
      <c r="L457" s="23"/>
      <c r="M457" s="23"/>
      <c r="N457" s="23"/>
      <c r="O457" s="23"/>
      <c r="P457" s="23"/>
      <c r="Q457" s="23"/>
      <c r="R457" s="23"/>
      <c r="S457" s="23"/>
      <c r="T457" s="23"/>
      <c r="U457" s="48"/>
    </row>
    <row r="458" spans="3:21" x14ac:dyDescent="0.25">
      <c r="C458" s="46"/>
      <c r="D458" s="23"/>
      <c r="E458" s="23"/>
      <c r="F458" s="23"/>
      <c r="G458" s="23"/>
      <c r="H458" s="23"/>
      <c r="I458" s="23"/>
      <c r="J458" s="23"/>
      <c r="K458" s="23"/>
      <c r="L458" s="23"/>
      <c r="M458" s="23"/>
      <c r="N458" s="23"/>
      <c r="O458" s="23"/>
      <c r="P458" s="23"/>
      <c r="Q458" s="23"/>
      <c r="R458" s="23"/>
      <c r="S458" s="23"/>
      <c r="T458" s="23"/>
      <c r="U458" s="48"/>
    </row>
    <row r="459" spans="3:21" x14ac:dyDescent="0.25">
      <c r="C459" s="46"/>
      <c r="D459" s="23"/>
      <c r="E459" s="23"/>
      <c r="F459" s="23"/>
      <c r="G459" s="23"/>
      <c r="H459" s="23"/>
      <c r="I459" s="23"/>
      <c r="J459" s="23"/>
      <c r="K459" s="23"/>
      <c r="L459" s="23"/>
      <c r="M459" s="23"/>
      <c r="N459" s="23"/>
      <c r="O459" s="23"/>
      <c r="P459" s="23"/>
      <c r="Q459" s="23"/>
      <c r="R459" s="23"/>
      <c r="S459" s="23"/>
      <c r="T459" s="23"/>
      <c r="U459" s="48"/>
    </row>
    <row r="460" spans="3:21" x14ac:dyDescent="0.25">
      <c r="C460" s="46"/>
      <c r="D460" s="23"/>
      <c r="E460" s="23"/>
      <c r="F460" s="23"/>
      <c r="G460" s="23"/>
      <c r="H460" s="23"/>
      <c r="I460" s="23"/>
      <c r="J460" s="23"/>
      <c r="K460" s="23"/>
      <c r="L460" s="23"/>
      <c r="M460" s="23"/>
      <c r="N460" s="23"/>
      <c r="O460" s="23"/>
      <c r="P460" s="23"/>
      <c r="Q460" s="23"/>
      <c r="R460" s="23"/>
      <c r="S460" s="23"/>
      <c r="T460" s="23"/>
      <c r="U460" s="48"/>
    </row>
    <row r="461" spans="3:21" x14ac:dyDescent="0.25">
      <c r="C461" s="46"/>
      <c r="D461" s="23"/>
      <c r="E461" s="23"/>
      <c r="F461" s="23"/>
      <c r="G461" s="23"/>
      <c r="H461" s="23"/>
      <c r="I461" s="23"/>
      <c r="J461" s="23"/>
      <c r="K461" s="23"/>
      <c r="L461" s="23"/>
      <c r="M461" s="23"/>
      <c r="N461" s="23"/>
      <c r="O461" s="23"/>
      <c r="P461" s="23"/>
      <c r="Q461" s="23"/>
      <c r="R461" s="23"/>
      <c r="S461" s="23"/>
      <c r="T461" s="23"/>
      <c r="U461" s="48"/>
    </row>
    <row r="462" spans="3:21" x14ac:dyDescent="0.25">
      <c r="C462" s="46"/>
      <c r="D462" s="23"/>
      <c r="E462" s="23"/>
      <c r="F462" s="23"/>
      <c r="G462" s="23"/>
      <c r="H462" s="23"/>
      <c r="I462" s="23"/>
      <c r="J462" s="23"/>
      <c r="K462" s="23"/>
      <c r="L462" s="23"/>
      <c r="M462" s="23"/>
      <c r="N462" s="23"/>
      <c r="O462" s="23"/>
      <c r="P462" s="23"/>
      <c r="Q462" s="23"/>
      <c r="R462" s="23"/>
      <c r="S462" s="23"/>
      <c r="T462" s="23"/>
      <c r="U462" s="48"/>
    </row>
    <row r="463" spans="3:21" x14ac:dyDescent="0.25">
      <c r="C463" s="46"/>
      <c r="D463" s="23"/>
      <c r="E463" s="23"/>
      <c r="F463" s="23"/>
      <c r="G463" s="23"/>
      <c r="H463" s="23"/>
      <c r="I463" s="23"/>
      <c r="J463" s="23"/>
      <c r="K463" s="23"/>
      <c r="L463" s="23"/>
      <c r="M463" s="23"/>
      <c r="N463" s="23"/>
      <c r="O463" s="23"/>
      <c r="P463" s="23"/>
      <c r="Q463" s="23"/>
      <c r="R463" s="23"/>
      <c r="S463" s="23"/>
      <c r="T463" s="23"/>
      <c r="U463" s="48"/>
    </row>
    <row r="464" spans="3:21" x14ac:dyDescent="0.25">
      <c r="C464" s="46"/>
      <c r="D464" s="23"/>
      <c r="E464" s="23"/>
      <c r="F464" s="23"/>
      <c r="G464" s="23"/>
      <c r="H464" s="23"/>
      <c r="I464" s="23"/>
      <c r="J464" s="23"/>
      <c r="K464" s="23"/>
      <c r="L464" s="23"/>
      <c r="M464" s="23"/>
      <c r="N464" s="23"/>
      <c r="O464" s="23"/>
      <c r="P464" s="23"/>
      <c r="Q464" s="23"/>
      <c r="R464" s="23"/>
      <c r="S464" s="23"/>
      <c r="T464" s="23"/>
      <c r="U464" s="48"/>
    </row>
    <row r="465" spans="3:21" x14ac:dyDescent="0.25">
      <c r="C465" s="46"/>
      <c r="D465" s="23"/>
      <c r="E465" s="23"/>
      <c r="F465" s="23"/>
      <c r="G465" s="23"/>
      <c r="H465" s="23"/>
      <c r="I465" s="23"/>
      <c r="J465" s="23"/>
      <c r="K465" s="23"/>
      <c r="L465" s="23"/>
      <c r="M465" s="23"/>
      <c r="N465" s="23"/>
      <c r="O465" s="23"/>
      <c r="P465" s="23"/>
      <c r="Q465" s="23"/>
      <c r="R465" s="23"/>
      <c r="S465" s="23"/>
      <c r="T465" s="23"/>
      <c r="U465" s="48"/>
    </row>
    <row r="466" spans="3:21" x14ac:dyDescent="0.25">
      <c r="C466" s="46"/>
      <c r="D466" s="23"/>
      <c r="E466" s="23"/>
      <c r="F466" s="23"/>
      <c r="G466" s="23"/>
      <c r="H466" s="23"/>
      <c r="I466" s="23"/>
      <c r="J466" s="23"/>
      <c r="K466" s="23"/>
      <c r="L466" s="23"/>
      <c r="M466" s="23"/>
      <c r="N466" s="23"/>
      <c r="O466" s="23"/>
      <c r="P466" s="23"/>
      <c r="Q466" s="23"/>
      <c r="R466" s="23"/>
      <c r="S466" s="23"/>
      <c r="T466" s="23"/>
      <c r="U466" s="48"/>
    </row>
    <row r="467" spans="3:21" x14ac:dyDescent="0.25">
      <c r="C467" s="46"/>
      <c r="D467" s="23"/>
      <c r="E467" s="23"/>
      <c r="F467" s="23"/>
      <c r="G467" s="23"/>
      <c r="H467" s="23"/>
      <c r="I467" s="23"/>
      <c r="J467" s="23"/>
      <c r="K467" s="23"/>
      <c r="L467" s="23"/>
      <c r="M467" s="23"/>
      <c r="N467" s="23"/>
      <c r="O467" s="23"/>
      <c r="P467" s="23"/>
      <c r="Q467" s="23"/>
      <c r="R467" s="23"/>
      <c r="S467" s="23"/>
      <c r="T467" s="23"/>
      <c r="U467" s="48"/>
    </row>
    <row r="468" spans="3:21" x14ac:dyDescent="0.25">
      <c r="C468" s="46"/>
      <c r="D468" s="23"/>
      <c r="E468" s="23"/>
      <c r="F468" s="23"/>
      <c r="G468" s="23"/>
      <c r="H468" s="23"/>
      <c r="I468" s="23"/>
      <c r="J468" s="23"/>
      <c r="K468" s="23"/>
      <c r="L468" s="23"/>
      <c r="M468" s="23"/>
      <c r="N468" s="23"/>
      <c r="O468" s="23"/>
      <c r="P468" s="23"/>
      <c r="Q468" s="23"/>
      <c r="R468" s="23"/>
      <c r="S468" s="23"/>
      <c r="T468" s="23"/>
      <c r="U468" s="48"/>
    </row>
    <row r="469" spans="3:21" ht="15.75" x14ac:dyDescent="0.25">
      <c r="C469" s="46"/>
      <c r="D469" s="23"/>
      <c r="E469" s="23"/>
      <c r="F469" s="51" t="s">
        <v>233</v>
      </c>
      <c r="G469" s="23"/>
      <c r="H469" s="23"/>
      <c r="I469" s="23"/>
      <c r="J469" s="23"/>
      <c r="K469" s="23"/>
      <c r="L469" s="23"/>
      <c r="M469" s="23"/>
      <c r="N469" s="23"/>
      <c r="O469" s="23"/>
      <c r="P469" s="23"/>
      <c r="Q469" s="23"/>
      <c r="R469" s="23"/>
      <c r="S469" s="23"/>
      <c r="T469" s="23"/>
      <c r="U469" s="48"/>
    </row>
    <row r="470" spans="3:21" x14ac:dyDescent="0.25">
      <c r="C470" s="46"/>
      <c r="D470" s="23"/>
      <c r="E470" s="23"/>
      <c r="F470" s="23"/>
      <c r="G470" s="23"/>
      <c r="H470" s="23"/>
      <c r="I470" s="23"/>
      <c r="J470" s="23"/>
      <c r="K470" s="23"/>
      <c r="L470" s="23"/>
      <c r="M470" s="23"/>
      <c r="N470" s="23"/>
      <c r="O470" s="23"/>
      <c r="P470" s="23"/>
      <c r="Q470" s="23"/>
      <c r="R470" s="23"/>
      <c r="S470" s="23"/>
      <c r="T470" s="23"/>
      <c r="U470" s="48"/>
    </row>
    <row r="471" spans="3:21" x14ac:dyDescent="0.25">
      <c r="C471" s="46"/>
      <c r="D471" s="23"/>
      <c r="E471" s="23"/>
      <c r="F471" s="23"/>
      <c r="G471" s="23"/>
      <c r="H471" s="23"/>
      <c r="I471" s="23"/>
      <c r="J471" s="23"/>
      <c r="K471" s="23"/>
      <c r="L471" s="23"/>
      <c r="M471" s="23"/>
      <c r="N471" s="23"/>
      <c r="O471" s="23"/>
      <c r="P471" s="23"/>
      <c r="Q471" s="23"/>
      <c r="R471" s="23"/>
      <c r="S471" s="23"/>
      <c r="T471" s="23"/>
      <c r="U471" s="48"/>
    </row>
    <row r="472" spans="3:21" x14ac:dyDescent="0.25">
      <c r="C472" s="46"/>
      <c r="D472" s="23"/>
      <c r="E472" s="23"/>
      <c r="F472" s="23"/>
      <c r="G472" s="23"/>
      <c r="H472" s="23"/>
      <c r="I472" s="23"/>
      <c r="J472" s="23"/>
      <c r="K472" s="23"/>
      <c r="L472" s="23"/>
      <c r="M472" s="23"/>
      <c r="N472" s="23"/>
      <c r="O472" s="23"/>
      <c r="P472" s="23"/>
      <c r="Q472" s="23"/>
      <c r="R472" s="23"/>
      <c r="S472" s="23"/>
      <c r="T472" s="23"/>
      <c r="U472" s="48"/>
    </row>
    <row r="473" spans="3:21" x14ac:dyDescent="0.25">
      <c r="C473" s="46"/>
      <c r="D473" s="23"/>
      <c r="E473" s="23"/>
      <c r="F473" s="23"/>
      <c r="G473" s="23"/>
      <c r="H473" s="23"/>
      <c r="I473" s="23"/>
      <c r="J473" s="23"/>
      <c r="K473" s="23"/>
      <c r="L473" s="23"/>
      <c r="M473" s="23"/>
      <c r="N473" s="23"/>
      <c r="O473" s="23"/>
      <c r="P473" s="23"/>
      <c r="Q473" s="23"/>
      <c r="R473" s="23"/>
      <c r="S473" s="23"/>
      <c r="T473" s="23"/>
      <c r="U473" s="48"/>
    </row>
    <row r="474" spans="3:21" x14ac:dyDescent="0.25">
      <c r="C474" s="46"/>
      <c r="D474" s="23"/>
      <c r="E474" s="23"/>
      <c r="F474" s="23"/>
      <c r="G474" s="23"/>
      <c r="H474" s="23"/>
      <c r="I474" s="23"/>
      <c r="J474" s="23"/>
      <c r="K474" s="23"/>
      <c r="L474" s="23"/>
      <c r="M474" s="23"/>
      <c r="N474" s="23"/>
      <c r="O474" s="23"/>
      <c r="P474" s="23"/>
      <c r="Q474" s="23"/>
      <c r="R474" s="23"/>
      <c r="S474" s="23"/>
      <c r="T474" s="23"/>
      <c r="U474" s="48"/>
    </row>
    <row r="475" spans="3:21" x14ac:dyDescent="0.25">
      <c r="C475" s="46"/>
      <c r="D475" s="23"/>
      <c r="E475" s="23"/>
      <c r="F475" s="23"/>
      <c r="G475" s="23"/>
      <c r="H475" s="23"/>
      <c r="I475" s="23"/>
      <c r="J475" s="23"/>
      <c r="K475" s="23"/>
      <c r="L475" s="23"/>
      <c r="M475" s="23"/>
      <c r="N475" s="23"/>
      <c r="O475" s="23"/>
      <c r="P475" s="23"/>
      <c r="Q475" s="23"/>
      <c r="R475" s="23"/>
      <c r="S475" s="23"/>
      <c r="T475" s="23"/>
      <c r="U475" s="48"/>
    </row>
    <row r="476" spans="3:21" x14ac:dyDescent="0.25">
      <c r="C476" s="46"/>
      <c r="D476" s="23"/>
      <c r="E476" s="23"/>
      <c r="F476" s="23"/>
      <c r="G476" s="23"/>
      <c r="H476" s="23"/>
      <c r="I476" s="23"/>
      <c r="J476" s="23"/>
      <c r="K476" s="23"/>
      <c r="L476" s="23"/>
      <c r="M476" s="23"/>
      <c r="N476" s="23"/>
      <c r="O476" s="23"/>
      <c r="P476" s="23"/>
      <c r="Q476" s="23"/>
      <c r="R476" s="23"/>
      <c r="S476" s="23"/>
      <c r="T476" s="23"/>
      <c r="U476" s="48"/>
    </row>
    <row r="477" spans="3:21" x14ac:dyDescent="0.25">
      <c r="C477" s="46"/>
      <c r="D477" s="23"/>
      <c r="E477" s="23"/>
      <c r="F477" s="23"/>
      <c r="G477" s="23"/>
      <c r="H477" s="23"/>
      <c r="I477" s="23"/>
      <c r="J477" s="23"/>
      <c r="K477" s="23"/>
      <c r="L477" s="23"/>
      <c r="M477" s="23"/>
      <c r="N477" s="23"/>
      <c r="O477" s="23"/>
      <c r="P477" s="23"/>
      <c r="Q477" s="23"/>
      <c r="R477" s="23"/>
      <c r="S477" s="23"/>
      <c r="T477" s="23"/>
      <c r="U477" s="48"/>
    </row>
    <row r="478" spans="3:21" x14ac:dyDescent="0.25">
      <c r="C478" s="46"/>
      <c r="D478" s="23"/>
      <c r="E478" s="23"/>
      <c r="F478" s="23"/>
      <c r="G478" s="23"/>
      <c r="H478" s="23"/>
      <c r="I478" s="23"/>
      <c r="J478" s="23"/>
      <c r="K478" s="23"/>
      <c r="L478" s="23"/>
      <c r="M478" s="23"/>
      <c r="N478" s="23"/>
      <c r="O478" s="23"/>
      <c r="P478" s="23"/>
      <c r="Q478" s="23"/>
      <c r="R478" s="23"/>
      <c r="S478" s="23"/>
      <c r="T478" s="23"/>
      <c r="U478" s="48"/>
    </row>
    <row r="479" spans="3:21" x14ac:dyDescent="0.25">
      <c r="C479" s="46"/>
      <c r="D479" s="23"/>
      <c r="E479" s="23"/>
      <c r="F479" s="23"/>
      <c r="G479" s="23"/>
      <c r="H479" s="23"/>
      <c r="I479" s="23"/>
      <c r="J479" s="23"/>
      <c r="K479" s="23"/>
      <c r="L479" s="23"/>
      <c r="M479" s="23"/>
      <c r="N479" s="23"/>
      <c r="O479" s="23"/>
      <c r="P479" s="23"/>
      <c r="Q479" s="23"/>
      <c r="R479" s="23"/>
      <c r="S479" s="23"/>
      <c r="T479" s="23"/>
      <c r="U479" s="48"/>
    </row>
    <row r="480" spans="3:21" x14ac:dyDescent="0.25">
      <c r="C480" s="46"/>
      <c r="D480" s="23"/>
      <c r="E480" s="23"/>
      <c r="F480" s="23"/>
      <c r="G480" s="23"/>
      <c r="H480" s="23"/>
      <c r="I480" s="23"/>
      <c r="J480" s="23"/>
      <c r="K480" s="23"/>
      <c r="L480" s="23"/>
      <c r="M480" s="23"/>
      <c r="N480" s="23"/>
      <c r="O480" s="23"/>
      <c r="P480" s="23"/>
      <c r="Q480" s="23"/>
      <c r="R480" s="23"/>
      <c r="S480" s="23"/>
      <c r="T480" s="23"/>
      <c r="U480" s="48"/>
    </row>
    <row r="481" spans="3:21" x14ac:dyDescent="0.25">
      <c r="C481" s="46"/>
      <c r="D481" s="23"/>
      <c r="E481" s="23"/>
      <c r="F481" s="23"/>
      <c r="G481" s="23"/>
      <c r="H481" s="23"/>
      <c r="I481" s="23"/>
      <c r="J481" s="23"/>
      <c r="K481" s="23"/>
      <c r="L481" s="23"/>
      <c r="M481" s="23"/>
      <c r="N481" s="23"/>
      <c r="O481" s="23"/>
      <c r="P481" s="23"/>
      <c r="Q481" s="23"/>
      <c r="R481" s="23"/>
      <c r="S481" s="23"/>
      <c r="T481" s="23"/>
      <c r="U481" s="48"/>
    </row>
    <row r="482" spans="3:21" x14ac:dyDescent="0.25">
      <c r="C482" s="46"/>
      <c r="D482" s="23"/>
      <c r="E482" s="23"/>
      <c r="F482" s="23"/>
      <c r="G482" s="23"/>
      <c r="H482" s="23"/>
      <c r="I482" s="23"/>
      <c r="J482" s="23"/>
      <c r="K482" s="23"/>
      <c r="L482" s="23"/>
      <c r="M482" s="23"/>
      <c r="N482" s="23"/>
      <c r="O482" s="23"/>
      <c r="P482" s="23"/>
      <c r="Q482" s="23"/>
      <c r="R482" s="23"/>
      <c r="S482" s="23"/>
      <c r="T482" s="23"/>
      <c r="U482" s="48"/>
    </row>
    <row r="483" spans="3:21" x14ac:dyDescent="0.25">
      <c r="C483" s="46"/>
      <c r="D483" s="23"/>
      <c r="E483" s="23"/>
      <c r="F483" s="23"/>
      <c r="G483" s="23"/>
      <c r="H483" s="23"/>
      <c r="I483" s="23"/>
      <c r="J483" s="23"/>
      <c r="K483" s="23"/>
      <c r="L483" s="23"/>
      <c r="M483" s="23"/>
      <c r="N483" s="23"/>
      <c r="O483" s="23"/>
      <c r="P483" s="23"/>
      <c r="Q483" s="23"/>
      <c r="R483" s="23"/>
      <c r="S483" s="23"/>
      <c r="T483" s="23"/>
      <c r="U483" s="48"/>
    </row>
    <row r="484" spans="3:21" x14ac:dyDescent="0.25">
      <c r="C484" s="46"/>
      <c r="D484" s="23"/>
      <c r="E484" s="23"/>
      <c r="F484" s="23"/>
      <c r="G484" s="23"/>
      <c r="H484" s="23"/>
      <c r="I484" s="23"/>
      <c r="J484" s="23"/>
      <c r="K484" s="23"/>
      <c r="L484" s="23"/>
      <c r="M484" s="23"/>
      <c r="N484" s="23"/>
      <c r="O484" s="23"/>
      <c r="P484" s="23"/>
      <c r="Q484" s="23"/>
      <c r="R484" s="23"/>
      <c r="S484" s="23"/>
      <c r="T484" s="23"/>
      <c r="U484" s="48"/>
    </row>
    <row r="485" spans="3:21" x14ac:dyDescent="0.25">
      <c r="C485" s="46"/>
      <c r="D485" s="23"/>
      <c r="E485" s="23"/>
      <c r="F485" s="23"/>
      <c r="G485" s="23"/>
      <c r="H485" s="23"/>
      <c r="I485" s="23"/>
      <c r="J485" s="23"/>
      <c r="K485" s="23"/>
      <c r="L485" s="23"/>
      <c r="M485" s="23"/>
      <c r="N485" s="23"/>
      <c r="O485" s="23"/>
      <c r="P485" s="23"/>
      <c r="Q485" s="23"/>
      <c r="R485" s="23"/>
      <c r="S485" s="23"/>
      <c r="T485" s="23"/>
      <c r="U485" s="48"/>
    </row>
    <row r="486" spans="3:21" x14ac:dyDescent="0.25">
      <c r="C486" s="46"/>
      <c r="D486" s="23"/>
      <c r="E486" s="23"/>
      <c r="F486" s="23"/>
      <c r="G486" s="23"/>
      <c r="H486" s="23"/>
      <c r="I486" s="23"/>
      <c r="J486" s="23"/>
      <c r="K486" s="23"/>
      <c r="L486" s="23"/>
      <c r="M486" s="23"/>
      <c r="N486" s="23"/>
      <c r="O486" s="23"/>
      <c r="P486" s="23"/>
      <c r="Q486" s="23"/>
      <c r="R486" s="23"/>
      <c r="S486" s="23"/>
      <c r="T486" s="23"/>
      <c r="U486" s="48"/>
    </row>
    <row r="487" spans="3:21" x14ac:dyDescent="0.25">
      <c r="C487" s="46"/>
      <c r="D487" s="23"/>
      <c r="E487" s="23"/>
      <c r="F487" s="23"/>
      <c r="G487" s="23"/>
      <c r="H487" s="23"/>
      <c r="I487" s="23"/>
      <c r="J487" s="23"/>
      <c r="K487" s="23"/>
      <c r="L487" s="23"/>
      <c r="M487" s="23"/>
      <c r="N487" s="23"/>
      <c r="O487" s="23"/>
      <c r="P487" s="23"/>
      <c r="Q487" s="23"/>
      <c r="R487" s="23"/>
      <c r="S487" s="23"/>
      <c r="T487" s="23"/>
      <c r="U487" s="48"/>
    </row>
    <row r="488" spans="3:21" x14ac:dyDescent="0.25">
      <c r="C488" s="46"/>
      <c r="D488" s="23"/>
      <c r="E488" s="23"/>
      <c r="F488" s="23"/>
      <c r="G488" s="23"/>
      <c r="H488" s="23"/>
      <c r="I488" s="23"/>
      <c r="J488" s="23"/>
      <c r="K488" s="23"/>
      <c r="L488" s="23"/>
      <c r="M488" s="23"/>
      <c r="N488" s="23"/>
      <c r="O488" s="23"/>
      <c r="P488" s="23"/>
      <c r="Q488" s="23"/>
      <c r="R488" s="23"/>
      <c r="S488" s="23"/>
      <c r="T488" s="23"/>
      <c r="U488" s="48"/>
    </row>
    <row r="489" spans="3:21" x14ac:dyDescent="0.25">
      <c r="C489" s="46"/>
      <c r="D489" s="23"/>
      <c r="E489" s="23"/>
      <c r="F489" s="23"/>
      <c r="G489" s="23"/>
      <c r="H489" s="23"/>
      <c r="I489" s="23"/>
      <c r="J489" s="23"/>
      <c r="K489" s="23"/>
      <c r="L489" s="23"/>
      <c r="M489" s="23"/>
      <c r="N489" s="23"/>
      <c r="O489" s="23"/>
      <c r="P489" s="23"/>
      <c r="Q489" s="23"/>
      <c r="R489" s="23"/>
      <c r="S489" s="23"/>
      <c r="T489" s="23"/>
      <c r="U489" s="48"/>
    </row>
    <row r="490" spans="3:21" x14ac:dyDescent="0.25">
      <c r="C490" s="46"/>
      <c r="D490" s="23"/>
      <c r="E490" s="23"/>
      <c r="F490" s="23"/>
      <c r="G490" s="23"/>
      <c r="H490" s="23"/>
      <c r="I490" s="23"/>
      <c r="J490" s="23"/>
      <c r="K490" s="23"/>
      <c r="L490" s="23"/>
      <c r="M490" s="23"/>
      <c r="N490" s="23"/>
      <c r="O490" s="23"/>
      <c r="P490" s="23"/>
      <c r="Q490" s="23"/>
      <c r="R490" s="23"/>
      <c r="S490" s="23"/>
      <c r="T490" s="23"/>
      <c r="U490" s="48"/>
    </row>
    <row r="491" spans="3:21" x14ac:dyDescent="0.25">
      <c r="C491" s="46"/>
      <c r="D491" s="23"/>
      <c r="E491" s="23"/>
      <c r="F491" s="23"/>
      <c r="G491" s="23"/>
      <c r="H491" s="23"/>
      <c r="I491" s="23"/>
      <c r="J491" s="23"/>
      <c r="K491" s="23"/>
      <c r="L491" s="23"/>
      <c r="M491" s="23"/>
      <c r="N491" s="23"/>
      <c r="O491" s="23"/>
      <c r="P491" s="23"/>
      <c r="Q491" s="23"/>
      <c r="R491" s="23"/>
      <c r="S491" s="23"/>
      <c r="T491" s="23"/>
      <c r="U491" s="48"/>
    </row>
    <row r="492" spans="3:21" x14ac:dyDescent="0.25">
      <c r="C492" s="46"/>
      <c r="D492" s="23"/>
      <c r="E492" s="23"/>
      <c r="F492" s="23"/>
      <c r="G492" s="23"/>
      <c r="H492" s="23"/>
      <c r="I492" s="23"/>
      <c r="J492" s="23"/>
      <c r="K492" s="23"/>
      <c r="L492" s="23"/>
      <c r="M492" s="23"/>
      <c r="N492" s="23"/>
      <c r="O492" s="23"/>
      <c r="P492" s="23"/>
      <c r="Q492" s="23"/>
      <c r="R492" s="23"/>
      <c r="S492" s="23"/>
      <c r="T492" s="23"/>
      <c r="U492" s="48"/>
    </row>
    <row r="493" spans="3:21" x14ac:dyDescent="0.25">
      <c r="C493" s="46"/>
      <c r="D493" s="23"/>
      <c r="E493" s="23"/>
      <c r="F493" s="23"/>
      <c r="G493" s="23"/>
      <c r="H493" s="23"/>
      <c r="I493" s="23"/>
      <c r="J493" s="23"/>
      <c r="K493" s="23"/>
      <c r="L493" s="23"/>
      <c r="M493" s="23"/>
      <c r="N493" s="23"/>
      <c r="O493" s="23"/>
      <c r="P493" s="23"/>
      <c r="Q493" s="23"/>
      <c r="R493" s="23"/>
      <c r="S493" s="23"/>
      <c r="T493" s="23"/>
      <c r="U493" s="48"/>
    </row>
    <row r="494" spans="3:21" x14ac:dyDescent="0.25">
      <c r="C494" s="46"/>
      <c r="D494" s="23"/>
      <c r="E494" s="23"/>
      <c r="F494" s="23"/>
      <c r="G494" s="23"/>
      <c r="H494" s="23"/>
      <c r="I494" s="23"/>
      <c r="J494" s="23"/>
      <c r="K494" s="23"/>
      <c r="L494" s="23"/>
      <c r="M494" s="23"/>
      <c r="N494" s="23"/>
      <c r="O494" s="23"/>
      <c r="P494" s="23"/>
      <c r="Q494" s="23"/>
      <c r="R494" s="23"/>
      <c r="S494" s="23"/>
      <c r="T494" s="23"/>
      <c r="U494" s="48"/>
    </row>
    <row r="495" spans="3:21" x14ac:dyDescent="0.25">
      <c r="C495" s="46"/>
      <c r="D495" s="23"/>
      <c r="E495" s="23"/>
      <c r="F495" s="23"/>
      <c r="G495" s="23"/>
      <c r="H495" s="23"/>
      <c r="I495" s="23"/>
      <c r="J495" s="23"/>
      <c r="K495" s="23"/>
      <c r="L495" s="23"/>
      <c r="M495" s="23"/>
      <c r="N495" s="23"/>
      <c r="O495" s="23"/>
      <c r="P495" s="23"/>
      <c r="Q495" s="23"/>
      <c r="R495" s="23"/>
      <c r="S495" s="23"/>
      <c r="T495" s="23"/>
      <c r="U495" s="48"/>
    </row>
    <row r="496" spans="3:21" ht="15.75" x14ac:dyDescent="0.25">
      <c r="C496" s="46"/>
      <c r="D496" s="23"/>
      <c r="E496" s="23"/>
      <c r="F496" s="51" t="s">
        <v>233</v>
      </c>
      <c r="G496" s="23"/>
      <c r="H496" s="23"/>
      <c r="I496" s="23"/>
      <c r="J496" s="23"/>
      <c r="K496" s="23"/>
      <c r="L496" s="23"/>
      <c r="M496" s="23"/>
      <c r="N496" s="23"/>
      <c r="O496" s="23"/>
      <c r="P496" s="23"/>
      <c r="Q496" s="23"/>
      <c r="R496" s="23"/>
      <c r="S496" s="23"/>
      <c r="T496" s="23"/>
      <c r="U496" s="48"/>
    </row>
    <row r="497" spans="3:21" x14ac:dyDescent="0.25">
      <c r="C497" s="46"/>
      <c r="D497" s="23"/>
      <c r="E497" s="23"/>
      <c r="F497" s="23"/>
      <c r="G497" s="23"/>
      <c r="H497" s="23"/>
      <c r="I497" s="23"/>
      <c r="J497" s="23"/>
      <c r="K497" s="23"/>
      <c r="L497" s="23"/>
      <c r="M497" s="23"/>
      <c r="N497" s="23"/>
      <c r="O497" s="23"/>
      <c r="P497" s="23"/>
      <c r="Q497" s="23"/>
      <c r="R497" s="23"/>
      <c r="S497" s="23"/>
      <c r="T497" s="23"/>
      <c r="U497" s="48"/>
    </row>
    <row r="498" spans="3:21" x14ac:dyDescent="0.25">
      <c r="C498" s="46"/>
      <c r="D498" s="23"/>
      <c r="E498" s="23"/>
      <c r="F498" s="23"/>
      <c r="G498" s="23"/>
      <c r="H498" s="23"/>
      <c r="I498" s="23"/>
      <c r="J498" s="23"/>
      <c r="K498" s="23"/>
      <c r="L498" s="23"/>
      <c r="M498" s="23"/>
      <c r="N498" s="23"/>
      <c r="O498" s="23"/>
      <c r="P498" s="23"/>
      <c r="Q498" s="23"/>
      <c r="R498" s="23"/>
      <c r="S498" s="23"/>
      <c r="T498" s="23"/>
      <c r="U498" s="48"/>
    </row>
    <row r="499" spans="3:21" x14ac:dyDescent="0.25">
      <c r="C499" s="46"/>
      <c r="D499" s="23"/>
      <c r="E499" s="23"/>
      <c r="F499" s="23"/>
      <c r="G499" s="23"/>
      <c r="H499" s="23"/>
      <c r="I499" s="23"/>
      <c r="J499" s="23"/>
      <c r="K499" s="23"/>
      <c r="L499" s="23"/>
      <c r="M499" s="23"/>
      <c r="N499" s="23"/>
      <c r="O499" s="23"/>
      <c r="P499" s="23"/>
      <c r="Q499" s="23"/>
      <c r="R499" s="23"/>
      <c r="S499" s="23"/>
      <c r="T499" s="23"/>
      <c r="U499" s="48"/>
    </row>
    <row r="500" spans="3:21" x14ac:dyDescent="0.25">
      <c r="C500" s="46"/>
      <c r="D500" s="23"/>
      <c r="E500" s="23"/>
      <c r="F500" s="23"/>
      <c r="G500" s="23"/>
      <c r="H500" s="23"/>
      <c r="I500" s="23"/>
      <c r="J500" s="23"/>
      <c r="K500" s="23"/>
      <c r="L500" s="23"/>
      <c r="M500" s="23"/>
      <c r="N500" s="23"/>
      <c r="O500" s="23"/>
      <c r="P500" s="23"/>
      <c r="Q500" s="23"/>
      <c r="R500" s="23"/>
      <c r="S500" s="23"/>
      <c r="T500" s="23"/>
      <c r="U500" s="48"/>
    </row>
    <row r="501" spans="3:21" x14ac:dyDescent="0.25">
      <c r="C501" s="46"/>
      <c r="D501" s="23"/>
      <c r="E501" s="23"/>
      <c r="F501" s="23"/>
      <c r="G501" s="23"/>
      <c r="H501" s="23"/>
      <c r="I501" s="23"/>
      <c r="J501" s="23"/>
      <c r="K501" s="23"/>
      <c r="L501" s="23"/>
      <c r="M501" s="23"/>
      <c r="N501" s="23"/>
      <c r="O501" s="23"/>
      <c r="P501" s="23"/>
      <c r="Q501" s="23"/>
      <c r="R501" s="23"/>
      <c r="S501" s="23"/>
      <c r="T501" s="23"/>
      <c r="U501" s="48"/>
    </row>
    <row r="502" spans="3:21" x14ac:dyDescent="0.25">
      <c r="C502" s="46"/>
      <c r="D502" s="23"/>
      <c r="E502" s="23"/>
      <c r="F502" s="23"/>
      <c r="G502" s="23"/>
      <c r="H502" s="23"/>
      <c r="I502" s="23"/>
      <c r="J502" s="23"/>
      <c r="K502" s="23"/>
      <c r="L502" s="23"/>
      <c r="M502" s="23"/>
      <c r="N502" s="23"/>
      <c r="O502" s="23"/>
      <c r="P502" s="23"/>
      <c r="Q502" s="23"/>
      <c r="R502" s="23"/>
      <c r="S502" s="23"/>
      <c r="T502" s="23"/>
      <c r="U502" s="48"/>
    </row>
    <row r="503" spans="3:21" x14ac:dyDescent="0.25">
      <c r="C503" s="46"/>
      <c r="D503" s="23"/>
      <c r="E503" s="23"/>
      <c r="F503" s="23"/>
      <c r="G503" s="23"/>
      <c r="H503" s="23"/>
      <c r="I503" s="23"/>
      <c r="J503" s="23"/>
      <c r="K503" s="23"/>
      <c r="L503" s="23"/>
      <c r="M503" s="23"/>
      <c r="N503" s="23"/>
      <c r="O503" s="23"/>
      <c r="P503" s="23"/>
      <c r="Q503" s="23"/>
      <c r="R503" s="23"/>
      <c r="S503" s="23"/>
      <c r="T503" s="23"/>
      <c r="U503" s="48"/>
    </row>
    <row r="504" spans="3:21" x14ac:dyDescent="0.25">
      <c r="C504" s="46"/>
      <c r="D504" s="23"/>
      <c r="E504" s="23"/>
      <c r="F504" s="23"/>
      <c r="G504" s="23"/>
      <c r="H504" s="23"/>
      <c r="I504" s="23"/>
      <c r="J504" s="23"/>
      <c r="K504" s="23"/>
      <c r="L504" s="23"/>
      <c r="M504" s="23"/>
      <c r="N504" s="23"/>
      <c r="O504" s="23"/>
      <c r="P504" s="23"/>
      <c r="Q504" s="23"/>
      <c r="R504" s="23"/>
      <c r="S504" s="23"/>
      <c r="T504" s="23"/>
      <c r="U504" s="48"/>
    </row>
    <row r="505" spans="3:21" x14ac:dyDescent="0.25">
      <c r="C505" s="46"/>
      <c r="D505" s="23"/>
      <c r="E505" s="23"/>
      <c r="F505" s="23"/>
      <c r="G505" s="23"/>
      <c r="H505" s="23"/>
      <c r="I505" s="23"/>
      <c r="J505" s="23"/>
      <c r="K505" s="23"/>
      <c r="L505" s="23"/>
      <c r="M505" s="23"/>
      <c r="N505" s="23"/>
      <c r="O505" s="23"/>
      <c r="P505" s="23"/>
      <c r="Q505" s="23"/>
      <c r="R505" s="23"/>
      <c r="S505" s="23"/>
      <c r="T505" s="23"/>
      <c r="U505" s="48"/>
    </row>
    <row r="506" spans="3:21" x14ac:dyDescent="0.25">
      <c r="C506" s="46"/>
      <c r="D506" s="23"/>
      <c r="E506" s="23"/>
      <c r="F506" s="23"/>
      <c r="G506" s="23"/>
      <c r="H506" s="23"/>
      <c r="I506" s="23"/>
      <c r="J506" s="23"/>
      <c r="K506" s="23"/>
      <c r="L506" s="23"/>
      <c r="M506" s="23"/>
      <c r="N506" s="23"/>
      <c r="O506" s="23"/>
      <c r="P506" s="23"/>
      <c r="Q506" s="23"/>
      <c r="R506" s="23"/>
      <c r="S506" s="23"/>
      <c r="T506" s="23"/>
      <c r="U506" s="48"/>
    </row>
    <row r="507" spans="3:21" x14ac:dyDescent="0.25">
      <c r="C507" s="46"/>
      <c r="D507" s="23"/>
      <c r="E507" s="23"/>
      <c r="F507" s="23"/>
      <c r="G507" s="23"/>
      <c r="H507" s="23"/>
      <c r="I507" s="23"/>
      <c r="J507" s="23"/>
      <c r="K507" s="23"/>
      <c r="L507" s="23"/>
      <c r="M507" s="23"/>
      <c r="N507" s="23"/>
      <c r="O507" s="23"/>
      <c r="P507" s="23"/>
      <c r="Q507" s="23"/>
      <c r="R507" s="23"/>
      <c r="S507" s="23"/>
      <c r="T507" s="23"/>
      <c r="U507" s="48"/>
    </row>
    <row r="508" spans="3:21" x14ac:dyDescent="0.25">
      <c r="C508" s="46"/>
      <c r="D508" s="23"/>
      <c r="E508" s="23"/>
      <c r="F508" s="23"/>
      <c r="G508" s="23"/>
      <c r="H508" s="23"/>
      <c r="I508" s="23"/>
      <c r="J508" s="23"/>
      <c r="K508" s="23"/>
      <c r="L508" s="23"/>
      <c r="M508" s="23"/>
      <c r="N508" s="23"/>
      <c r="O508" s="23"/>
      <c r="P508" s="23"/>
      <c r="Q508" s="23"/>
      <c r="R508" s="23"/>
      <c r="S508" s="23"/>
      <c r="T508" s="23"/>
      <c r="U508" s="48"/>
    </row>
    <row r="509" spans="3:21" x14ac:dyDescent="0.25">
      <c r="C509" s="46"/>
      <c r="D509" s="23"/>
      <c r="E509" s="23"/>
      <c r="F509" s="23"/>
      <c r="G509" s="23"/>
      <c r="H509" s="23"/>
      <c r="I509" s="23"/>
      <c r="J509" s="23"/>
      <c r="K509" s="23"/>
      <c r="L509" s="23"/>
      <c r="M509" s="23"/>
      <c r="N509" s="23"/>
      <c r="O509" s="23"/>
      <c r="P509" s="23"/>
      <c r="Q509" s="23"/>
      <c r="R509" s="23"/>
      <c r="S509" s="23"/>
      <c r="T509" s="23"/>
      <c r="U509" s="48"/>
    </row>
    <row r="510" spans="3:21" x14ac:dyDescent="0.25">
      <c r="C510" s="46"/>
      <c r="D510" s="23"/>
      <c r="E510" s="23"/>
      <c r="F510" s="23"/>
      <c r="G510" s="23"/>
      <c r="H510" s="23"/>
      <c r="I510" s="23"/>
      <c r="J510" s="23"/>
      <c r="K510" s="23"/>
      <c r="L510" s="23"/>
      <c r="M510" s="23"/>
      <c r="N510" s="23"/>
      <c r="O510" s="23"/>
      <c r="P510" s="23"/>
      <c r="Q510" s="23"/>
      <c r="R510" s="23"/>
      <c r="S510" s="23"/>
      <c r="T510" s="23"/>
      <c r="U510" s="48"/>
    </row>
    <row r="511" spans="3:21" x14ac:dyDescent="0.25">
      <c r="C511" s="46"/>
      <c r="D511" s="23"/>
      <c r="E511" s="23"/>
      <c r="F511" s="23"/>
      <c r="G511" s="23"/>
      <c r="H511" s="23"/>
      <c r="I511" s="23"/>
      <c r="J511" s="23"/>
      <c r="K511" s="23"/>
      <c r="L511" s="23"/>
      <c r="M511" s="23"/>
      <c r="N511" s="23"/>
      <c r="O511" s="23"/>
      <c r="P511" s="23"/>
      <c r="Q511" s="23"/>
      <c r="R511" s="23"/>
      <c r="S511" s="23"/>
      <c r="T511" s="23"/>
      <c r="U511" s="48"/>
    </row>
    <row r="512" spans="3:21" x14ac:dyDescent="0.25">
      <c r="C512" s="46"/>
      <c r="D512" s="23"/>
      <c r="E512" s="23"/>
      <c r="F512" s="23"/>
      <c r="G512" s="23"/>
      <c r="H512" s="23"/>
      <c r="I512" s="23"/>
      <c r="J512" s="23"/>
      <c r="K512" s="23"/>
      <c r="L512" s="23"/>
      <c r="M512" s="23"/>
      <c r="N512" s="23"/>
      <c r="O512" s="23"/>
      <c r="P512" s="23"/>
      <c r="Q512" s="23"/>
      <c r="R512" s="23"/>
      <c r="S512" s="23"/>
      <c r="T512" s="23"/>
      <c r="U512" s="48"/>
    </row>
    <row r="513" spans="3:21" x14ac:dyDescent="0.25">
      <c r="C513" s="46"/>
      <c r="D513" s="23"/>
      <c r="E513" s="23"/>
      <c r="F513" s="23"/>
      <c r="G513" s="23"/>
      <c r="H513" s="23"/>
      <c r="I513" s="23"/>
      <c r="J513" s="23"/>
      <c r="K513" s="23"/>
      <c r="L513" s="23"/>
      <c r="M513" s="23"/>
      <c r="N513" s="23"/>
      <c r="O513" s="23"/>
      <c r="P513" s="23"/>
      <c r="Q513" s="23"/>
      <c r="R513" s="23"/>
      <c r="S513" s="23"/>
      <c r="T513" s="23"/>
      <c r="U513" s="48"/>
    </row>
    <row r="514" spans="3:21" x14ac:dyDescent="0.25">
      <c r="C514" s="46"/>
      <c r="D514" s="23"/>
      <c r="E514" s="23"/>
      <c r="F514" s="23"/>
      <c r="G514" s="23"/>
      <c r="H514" s="23"/>
      <c r="I514" s="23"/>
      <c r="J514" s="23"/>
      <c r="K514" s="23"/>
      <c r="L514" s="23"/>
      <c r="M514" s="23"/>
      <c r="N514" s="23"/>
      <c r="O514" s="23"/>
      <c r="P514" s="23"/>
      <c r="Q514" s="23"/>
      <c r="R514" s="23"/>
      <c r="S514" s="23"/>
      <c r="T514" s="23"/>
      <c r="U514" s="48"/>
    </row>
    <row r="515" spans="3:21" x14ac:dyDescent="0.25">
      <c r="C515" s="46"/>
      <c r="D515" s="23"/>
      <c r="E515" s="23"/>
      <c r="F515" s="23"/>
      <c r="G515" s="23"/>
      <c r="H515" s="23"/>
      <c r="I515" s="23"/>
      <c r="J515" s="23"/>
      <c r="K515" s="23"/>
      <c r="L515" s="23"/>
      <c r="M515" s="23"/>
      <c r="N515" s="23"/>
      <c r="O515" s="23"/>
      <c r="P515" s="23"/>
      <c r="Q515" s="23"/>
      <c r="R515" s="23"/>
      <c r="S515" s="23"/>
      <c r="T515" s="23"/>
      <c r="U515" s="48"/>
    </row>
    <row r="516" spans="3:21" x14ac:dyDescent="0.25">
      <c r="C516" s="46"/>
      <c r="D516" s="23"/>
      <c r="E516" s="23"/>
      <c r="F516" s="23"/>
      <c r="G516" s="23"/>
      <c r="H516" s="23"/>
      <c r="I516" s="23"/>
      <c r="J516" s="23"/>
      <c r="K516" s="23"/>
      <c r="L516" s="23"/>
      <c r="M516" s="23"/>
      <c r="N516" s="23"/>
      <c r="O516" s="23"/>
      <c r="P516" s="23"/>
      <c r="Q516" s="23"/>
      <c r="R516" s="23"/>
      <c r="S516" s="23"/>
      <c r="T516" s="23"/>
      <c r="U516" s="48"/>
    </row>
    <row r="517" spans="3:21" x14ac:dyDescent="0.25">
      <c r="C517" s="46"/>
      <c r="D517" s="23"/>
      <c r="E517" s="23"/>
      <c r="F517" s="23"/>
      <c r="G517" s="23"/>
      <c r="H517" s="23"/>
      <c r="I517" s="23"/>
      <c r="J517" s="23"/>
      <c r="K517" s="23"/>
      <c r="L517" s="23"/>
      <c r="M517" s="23"/>
      <c r="N517" s="23"/>
      <c r="O517" s="23"/>
      <c r="P517" s="23"/>
      <c r="Q517" s="23"/>
      <c r="R517" s="23"/>
      <c r="S517" s="23"/>
      <c r="T517" s="23"/>
      <c r="U517" s="48"/>
    </row>
    <row r="518" spans="3:21" x14ac:dyDescent="0.25">
      <c r="C518" s="46"/>
      <c r="D518" s="23"/>
      <c r="E518" s="23"/>
      <c r="F518" s="23"/>
      <c r="G518" s="23"/>
      <c r="H518" s="23"/>
      <c r="I518" s="23"/>
      <c r="J518" s="23"/>
      <c r="K518" s="23"/>
      <c r="L518" s="23"/>
      <c r="M518" s="23"/>
      <c r="N518" s="23"/>
      <c r="O518" s="23"/>
      <c r="P518" s="23"/>
      <c r="Q518" s="23"/>
      <c r="R518" s="23"/>
      <c r="S518" s="23"/>
      <c r="T518" s="23"/>
      <c r="U518" s="48"/>
    </row>
    <row r="519" spans="3:21" x14ac:dyDescent="0.25">
      <c r="C519" s="46"/>
      <c r="D519" s="23"/>
      <c r="E519" s="23"/>
      <c r="F519" s="23"/>
      <c r="G519" s="23"/>
      <c r="H519" s="23"/>
      <c r="I519" s="23"/>
      <c r="J519" s="23"/>
      <c r="K519" s="23"/>
      <c r="L519" s="23"/>
      <c r="M519" s="23"/>
      <c r="N519" s="23"/>
      <c r="O519" s="23"/>
      <c r="P519" s="23"/>
      <c r="Q519" s="23"/>
      <c r="R519" s="23"/>
      <c r="S519" s="23"/>
      <c r="T519" s="23"/>
      <c r="U519" s="48"/>
    </row>
    <row r="520" spans="3:21" x14ac:dyDescent="0.25">
      <c r="C520" s="46"/>
      <c r="D520" s="23"/>
      <c r="E520" s="23"/>
      <c r="F520" s="23"/>
      <c r="G520" s="23"/>
      <c r="H520" s="23"/>
      <c r="I520" s="23"/>
      <c r="J520" s="23"/>
      <c r="K520" s="23"/>
      <c r="L520" s="23"/>
      <c r="M520" s="23"/>
      <c r="N520" s="23"/>
      <c r="O520" s="23"/>
      <c r="P520" s="23"/>
      <c r="Q520" s="23"/>
      <c r="R520" s="23"/>
      <c r="S520" s="23"/>
      <c r="T520" s="23"/>
      <c r="U520" s="48"/>
    </row>
    <row r="521" spans="3:21" x14ac:dyDescent="0.25">
      <c r="C521" s="46"/>
      <c r="D521" s="23"/>
      <c r="E521" s="23"/>
      <c r="F521" s="23"/>
      <c r="G521" s="23"/>
      <c r="H521" s="23"/>
      <c r="I521" s="23"/>
      <c r="J521" s="23"/>
      <c r="K521" s="23"/>
      <c r="L521" s="23"/>
      <c r="M521" s="23"/>
      <c r="N521" s="23"/>
      <c r="O521" s="23"/>
      <c r="P521" s="23"/>
      <c r="Q521" s="23"/>
      <c r="R521" s="23"/>
      <c r="S521" s="23"/>
      <c r="T521" s="23"/>
      <c r="U521" s="48"/>
    </row>
    <row r="522" spans="3:21" x14ac:dyDescent="0.25">
      <c r="C522" s="46"/>
      <c r="D522" s="23"/>
      <c r="E522" s="23"/>
      <c r="F522" s="23"/>
      <c r="G522" s="23"/>
      <c r="H522" s="23"/>
      <c r="I522" s="23"/>
      <c r="J522" s="23"/>
      <c r="K522" s="23"/>
      <c r="L522" s="23"/>
      <c r="M522" s="23"/>
      <c r="N522" s="23"/>
      <c r="O522" s="23"/>
      <c r="P522" s="23"/>
      <c r="Q522" s="23"/>
      <c r="R522" s="23"/>
      <c r="S522" s="23"/>
      <c r="T522" s="23"/>
      <c r="U522" s="48"/>
    </row>
    <row r="523" spans="3:21" ht="15.75" x14ac:dyDescent="0.25">
      <c r="C523" s="46"/>
      <c r="D523" s="23"/>
      <c r="E523" s="23"/>
      <c r="F523" s="51" t="s">
        <v>235</v>
      </c>
      <c r="G523" s="23"/>
      <c r="H523" s="23"/>
      <c r="I523" s="23"/>
      <c r="J523" s="23"/>
      <c r="K523" s="23"/>
      <c r="L523" s="23"/>
      <c r="M523" s="23"/>
      <c r="N523" s="23"/>
      <c r="O523" s="23"/>
      <c r="P523" s="23"/>
      <c r="Q523" s="23"/>
      <c r="R523" s="23"/>
      <c r="S523" s="23"/>
      <c r="T523" s="23"/>
      <c r="U523" s="48"/>
    </row>
    <row r="524" spans="3:21" x14ac:dyDescent="0.25">
      <c r="C524" s="46"/>
      <c r="D524" s="23"/>
      <c r="E524" s="23"/>
      <c r="F524" s="23"/>
      <c r="G524" s="23"/>
      <c r="H524" s="23"/>
      <c r="I524" s="23"/>
      <c r="J524" s="23"/>
      <c r="K524" s="23"/>
      <c r="L524" s="23"/>
      <c r="M524" s="23"/>
      <c r="N524" s="23"/>
      <c r="O524" s="23"/>
      <c r="P524" s="23"/>
      <c r="Q524" s="23"/>
      <c r="R524" s="23"/>
      <c r="S524" s="23"/>
      <c r="T524" s="23"/>
      <c r="U524" s="48"/>
    </row>
    <row r="525" spans="3:21" x14ac:dyDescent="0.25">
      <c r="C525" s="46"/>
      <c r="D525" s="23"/>
      <c r="E525" s="23"/>
      <c r="F525" s="23"/>
      <c r="G525" s="23"/>
      <c r="H525" s="23"/>
      <c r="I525" s="23"/>
      <c r="J525" s="23"/>
      <c r="K525" s="23"/>
      <c r="L525" s="23"/>
      <c r="M525" s="23"/>
      <c r="N525" s="23"/>
      <c r="O525" s="23"/>
      <c r="P525" s="23"/>
      <c r="Q525" s="23"/>
      <c r="R525" s="23"/>
      <c r="S525" s="23"/>
      <c r="T525" s="23"/>
      <c r="U525" s="48"/>
    </row>
    <row r="526" spans="3:21" x14ac:dyDescent="0.25">
      <c r="C526" s="46"/>
      <c r="D526" s="23"/>
      <c r="E526" s="23"/>
      <c r="F526" s="23"/>
      <c r="G526" s="23"/>
      <c r="H526" s="23"/>
      <c r="I526" s="23"/>
      <c r="J526" s="23"/>
      <c r="K526" s="23"/>
      <c r="L526" s="23"/>
      <c r="M526" s="23"/>
      <c r="N526" s="23"/>
      <c r="O526" s="23"/>
      <c r="P526" s="23"/>
      <c r="Q526" s="23"/>
      <c r="R526" s="23"/>
      <c r="S526" s="23"/>
      <c r="T526" s="23"/>
      <c r="U526" s="48"/>
    </row>
    <row r="527" spans="3:21" x14ac:dyDescent="0.25">
      <c r="C527" s="46"/>
      <c r="D527" s="23"/>
      <c r="E527" s="23"/>
      <c r="F527" s="23"/>
      <c r="G527" s="23"/>
      <c r="H527" s="23"/>
      <c r="I527" s="23"/>
      <c r="J527" s="23"/>
      <c r="K527" s="23"/>
      <c r="L527" s="23"/>
      <c r="M527" s="23"/>
      <c r="N527" s="23"/>
      <c r="O527" s="23"/>
      <c r="P527" s="23"/>
      <c r="Q527" s="23"/>
      <c r="R527" s="23"/>
      <c r="S527" s="23"/>
      <c r="T527" s="23"/>
      <c r="U527" s="48"/>
    </row>
    <row r="528" spans="3:21" x14ac:dyDescent="0.25">
      <c r="C528" s="46"/>
      <c r="D528" s="23"/>
      <c r="E528" s="23"/>
      <c r="F528" s="23"/>
      <c r="G528" s="23"/>
      <c r="H528" s="23"/>
      <c r="I528" s="23"/>
      <c r="J528" s="23"/>
      <c r="K528" s="23"/>
      <c r="L528" s="23"/>
      <c r="M528" s="23"/>
      <c r="N528" s="23"/>
      <c r="O528" s="23"/>
      <c r="P528" s="23"/>
      <c r="Q528" s="23"/>
      <c r="R528" s="23"/>
      <c r="S528" s="23"/>
      <c r="T528" s="23"/>
      <c r="U528" s="48"/>
    </row>
    <row r="529" spans="3:21" x14ac:dyDescent="0.25">
      <c r="C529" s="46"/>
      <c r="D529" s="23"/>
      <c r="E529" s="23"/>
      <c r="F529" s="23"/>
      <c r="G529" s="23"/>
      <c r="H529" s="23"/>
      <c r="I529" s="23"/>
      <c r="J529" s="23"/>
      <c r="K529" s="23"/>
      <c r="L529" s="23"/>
      <c r="M529" s="23"/>
      <c r="N529" s="23"/>
      <c r="O529" s="23"/>
      <c r="P529" s="23"/>
      <c r="Q529" s="23"/>
      <c r="R529" s="23"/>
      <c r="S529" s="23"/>
      <c r="T529" s="23"/>
      <c r="U529" s="48"/>
    </row>
    <row r="530" spans="3:21" x14ac:dyDescent="0.25">
      <c r="C530" s="46"/>
      <c r="D530" s="23"/>
      <c r="E530" s="23"/>
      <c r="F530" s="23"/>
      <c r="G530" s="23"/>
      <c r="H530" s="23"/>
      <c r="I530" s="23"/>
      <c r="J530" s="23"/>
      <c r="K530" s="23"/>
      <c r="L530" s="23"/>
      <c r="M530" s="23"/>
      <c r="N530" s="23"/>
      <c r="O530" s="23"/>
      <c r="P530" s="23"/>
      <c r="Q530" s="23"/>
      <c r="R530" s="23"/>
      <c r="S530" s="23"/>
      <c r="T530" s="23"/>
      <c r="U530" s="48"/>
    </row>
    <row r="531" spans="3:21" x14ac:dyDescent="0.25">
      <c r="C531" s="46"/>
      <c r="D531" s="23"/>
      <c r="E531" s="23"/>
      <c r="F531" s="23"/>
      <c r="G531" s="23"/>
      <c r="H531" s="23"/>
      <c r="I531" s="23"/>
      <c r="J531" s="23"/>
      <c r="K531" s="23"/>
      <c r="L531" s="23"/>
      <c r="M531" s="23"/>
      <c r="N531" s="23"/>
      <c r="O531" s="23"/>
      <c r="P531" s="23"/>
      <c r="Q531" s="23"/>
      <c r="R531" s="23"/>
      <c r="S531" s="23"/>
      <c r="T531" s="23"/>
      <c r="U531" s="48"/>
    </row>
    <row r="532" spans="3:21" x14ac:dyDescent="0.25">
      <c r="C532" s="46"/>
      <c r="D532" s="23"/>
      <c r="E532" s="23"/>
      <c r="F532" s="23"/>
      <c r="G532" s="23"/>
      <c r="H532" s="23"/>
      <c r="I532" s="23"/>
      <c r="J532" s="23"/>
      <c r="K532" s="23"/>
      <c r="L532" s="23"/>
      <c r="M532" s="23"/>
      <c r="N532" s="23"/>
      <c r="O532" s="23"/>
      <c r="P532" s="23"/>
      <c r="Q532" s="23"/>
      <c r="R532" s="23"/>
      <c r="S532" s="23"/>
      <c r="T532" s="23"/>
      <c r="U532" s="48"/>
    </row>
    <row r="533" spans="3:21" x14ac:dyDescent="0.25">
      <c r="C533" s="46"/>
      <c r="D533" s="23"/>
      <c r="E533" s="23"/>
      <c r="F533" s="23"/>
      <c r="G533" s="23"/>
      <c r="H533" s="23"/>
      <c r="I533" s="23"/>
      <c r="J533" s="23"/>
      <c r="K533" s="23"/>
      <c r="L533" s="23"/>
      <c r="M533" s="23"/>
      <c r="N533" s="23"/>
      <c r="O533" s="23"/>
      <c r="P533" s="23"/>
      <c r="Q533" s="23"/>
      <c r="R533" s="23"/>
      <c r="S533" s="23"/>
      <c r="T533" s="23"/>
      <c r="U533" s="48"/>
    </row>
    <row r="534" spans="3:21" x14ac:dyDescent="0.25">
      <c r="C534" s="46"/>
      <c r="D534" s="23"/>
      <c r="E534" s="23"/>
      <c r="F534" s="23"/>
      <c r="G534" s="23"/>
      <c r="H534" s="23"/>
      <c r="I534" s="23"/>
      <c r="J534" s="23"/>
      <c r="K534" s="23"/>
      <c r="L534" s="23"/>
      <c r="M534" s="23"/>
      <c r="N534" s="23"/>
      <c r="O534" s="23"/>
      <c r="P534" s="23"/>
      <c r="Q534" s="23"/>
      <c r="R534" s="23"/>
      <c r="S534" s="23"/>
      <c r="T534" s="23"/>
      <c r="U534" s="48"/>
    </row>
    <row r="535" spans="3:21" x14ac:dyDescent="0.25">
      <c r="C535" s="46"/>
      <c r="D535" s="23"/>
      <c r="E535" s="23"/>
      <c r="F535" s="23"/>
      <c r="G535" s="23"/>
      <c r="H535" s="23"/>
      <c r="I535" s="23"/>
      <c r="J535" s="23"/>
      <c r="K535" s="23"/>
      <c r="L535" s="23"/>
      <c r="M535" s="23"/>
      <c r="N535" s="23"/>
      <c r="O535" s="23"/>
      <c r="P535" s="23"/>
      <c r="Q535" s="23"/>
      <c r="R535" s="23"/>
      <c r="S535" s="23"/>
      <c r="T535" s="23"/>
      <c r="U535" s="48"/>
    </row>
    <row r="536" spans="3:21" x14ac:dyDescent="0.25">
      <c r="C536" s="46"/>
      <c r="D536" s="23"/>
      <c r="E536" s="23"/>
      <c r="F536" s="23"/>
      <c r="G536" s="23"/>
      <c r="H536" s="23"/>
      <c r="I536" s="23"/>
      <c r="J536" s="23"/>
      <c r="K536" s="23"/>
      <c r="L536" s="23"/>
      <c r="M536" s="23"/>
      <c r="N536" s="23"/>
      <c r="O536" s="23"/>
      <c r="P536" s="23"/>
      <c r="Q536" s="23"/>
      <c r="R536" s="23"/>
      <c r="S536" s="23"/>
      <c r="T536" s="23"/>
      <c r="U536" s="48"/>
    </row>
    <row r="537" spans="3:21" x14ac:dyDescent="0.25">
      <c r="C537" s="46"/>
      <c r="D537" s="23"/>
      <c r="E537" s="23"/>
      <c r="F537" s="23"/>
      <c r="G537" s="23"/>
      <c r="H537" s="23"/>
      <c r="I537" s="23"/>
      <c r="J537" s="23"/>
      <c r="K537" s="23"/>
      <c r="L537" s="23"/>
      <c r="M537" s="23"/>
      <c r="N537" s="23"/>
      <c r="O537" s="23"/>
      <c r="P537" s="23"/>
      <c r="Q537" s="23"/>
      <c r="R537" s="23"/>
      <c r="S537" s="23"/>
      <c r="T537" s="23"/>
      <c r="U537" s="48"/>
    </row>
    <row r="538" spans="3:21" x14ac:dyDescent="0.25">
      <c r="C538" s="46"/>
      <c r="D538" s="23"/>
      <c r="E538" s="23"/>
      <c r="F538" s="23"/>
      <c r="G538" s="23"/>
      <c r="H538" s="23"/>
      <c r="I538" s="23"/>
      <c r="J538" s="23"/>
      <c r="K538" s="23"/>
      <c r="L538" s="23"/>
      <c r="M538" s="23"/>
      <c r="N538" s="23"/>
      <c r="O538" s="23"/>
      <c r="P538" s="23"/>
      <c r="Q538" s="23"/>
      <c r="R538" s="23"/>
      <c r="S538" s="23"/>
      <c r="T538" s="23"/>
      <c r="U538" s="48"/>
    </row>
    <row r="539" spans="3:21" x14ac:dyDescent="0.25">
      <c r="C539" s="46"/>
      <c r="D539" s="23"/>
      <c r="E539" s="23"/>
      <c r="F539" s="23"/>
      <c r="G539" s="23"/>
      <c r="H539" s="23"/>
      <c r="I539" s="23"/>
      <c r="J539" s="23"/>
      <c r="K539" s="23"/>
      <c r="L539" s="23"/>
      <c r="M539" s="23"/>
      <c r="N539" s="23"/>
      <c r="O539" s="23"/>
      <c r="P539" s="23"/>
      <c r="Q539" s="23"/>
      <c r="R539" s="23"/>
      <c r="S539" s="23"/>
      <c r="T539" s="23"/>
      <c r="U539" s="48"/>
    </row>
    <row r="540" spans="3:21" x14ac:dyDescent="0.25">
      <c r="C540" s="46"/>
      <c r="D540" s="23"/>
      <c r="E540" s="23"/>
      <c r="F540" s="23"/>
      <c r="G540" s="23"/>
      <c r="H540" s="23"/>
      <c r="I540" s="23"/>
      <c r="J540" s="23"/>
      <c r="K540" s="23"/>
      <c r="L540" s="23"/>
      <c r="M540" s="23"/>
      <c r="N540" s="23"/>
      <c r="O540" s="23"/>
      <c r="P540" s="23"/>
      <c r="Q540" s="23"/>
      <c r="R540" s="23"/>
      <c r="S540" s="23"/>
      <c r="T540" s="23"/>
      <c r="U540" s="48"/>
    </row>
    <row r="541" spans="3:21" x14ac:dyDescent="0.25">
      <c r="C541" s="46"/>
      <c r="D541" s="23"/>
      <c r="E541" s="23"/>
      <c r="F541" s="23"/>
      <c r="G541" s="23"/>
      <c r="H541" s="23"/>
      <c r="I541" s="23"/>
      <c r="J541" s="23"/>
      <c r="K541" s="23"/>
      <c r="L541" s="23"/>
      <c r="M541" s="23"/>
      <c r="N541" s="23"/>
      <c r="O541" s="23"/>
      <c r="P541" s="23"/>
      <c r="Q541" s="23"/>
      <c r="R541" s="23"/>
      <c r="S541" s="23"/>
      <c r="T541" s="23"/>
      <c r="U541" s="48"/>
    </row>
    <row r="542" spans="3:21" x14ac:dyDescent="0.25">
      <c r="C542" s="46"/>
      <c r="D542" s="23"/>
      <c r="E542" s="23"/>
      <c r="F542" s="23"/>
      <c r="G542" s="23"/>
      <c r="H542" s="23"/>
      <c r="I542" s="23"/>
      <c r="J542" s="23"/>
      <c r="K542" s="23"/>
      <c r="L542" s="23"/>
      <c r="M542" s="23"/>
      <c r="N542" s="23"/>
      <c r="O542" s="23"/>
      <c r="P542" s="23"/>
      <c r="Q542" s="23"/>
      <c r="R542" s="23"/>
      <c r="S542" s="23"/>
      <c r="T542" s="23"/>
      <c r="U542" s="48"/>
    </row>
    <row r="543" spans="3:21" x14ac:dyDescent="0.25">
      <c r="C543" s="46"/>
      <c r="D543" s="23"/>
      <c r="E543" s="23"/>
      <c r="F543" s="23"/>
      <c r="G543" s="23"/>
      <c r="H543" s="23"/>
      <c r="I543" s="23"/>
      <c r="J543" s="23"/>
      <c r="K543" s="23"/>
      <c r="L543" s="23"/>
      <c r="M543" s="23"/>
      <c r="N543" s="23"/>
      <c r="O543" s="23"/>
      <c r="P543" s="23"/>
      <c r="Q543" s="23"/>
      <c r="R543" s="23"/>
      <c r="S543" s="23"/>
      <c r="T543" s="23"/>
      <c r="U543" s="48"/>
    </row>
    <row r="544" spans="3:21" x14ac:dyDescent="0.25">
      <c r="C544" s="46"/>
      <c r="D544" s="23"/>
      <c r="E544" s="23"/>
      <c r="F544" s="23"/>
      <c r="G544" s="23"/>
      <c r="H544" s="23"/>
      <c r="I544" s="23"/>
      <c r="J544" s="23"/>
      <c r="K544" s="23"/>
      <c r="L544" s="23"/>
      <c r="M544" s="23"/>
      <c r="N544" s="23"/>
      <c r="O544" s="23"/>
      <c r="P544" s="23"/>
      <c r="Q544" s="23"/>
      <c r="R544" s="23"/>
      <c r="S544" s="23"/>
      <c r="T544" s="23"/>
      <c r="U544" s="48"/>
    </row>
    <row r="545" spans="3:21" x14ac:dyDescent="0.25">
      <c r="C545" s="46"/>
      <c r="D545" s="23"/>
      <c r="E545" s="23"/>
      <c r="F545" s="23"/>
      <c r="G545" s="23"/>
      <c r="H545" s="23"/>
      <c r="I545" s="23"/>
      <c r="J545" s="23"/>
      <c r="K545" s="23"/>
      <c r="L545" s="23"/>
      <c r="M545" s="23"/>
      <c r="N545" s="23"/>
      <c r="O545" s="23"/>
      <c r="P545" s="23"/>
      <c r="Q545" s="23"/>
      <c r="R545" s="23"/>
      <c r="S545" s="23"/>
      <c r="T545" s="23"/>
      <c r="U545" s="48"/>
    </row>
    <row r="546" spans="3:21" x14ac:dyDescent="0.25">
      <c r="C546" s="46"/>
      <c r="D546" s="23"/>
      <c r="E546" s="23"/>
      <c r="F546" s="23"/>
      <c r="G546" s="23"/>
      <c r="H546" s="23"/>
      <c r="I546" s="23"/>
      <c r="J546" s="23"/>
      <c r="K546" s="23"/>
      <c r="L546" s="23"/>
      <c r="M546" s="23"/>
      <c r="N546" s="23"/>
      <c r="O546" s="23"/>
      <c r="P546" s="23"/>
      <c r="Q546" s="23"/>
      <c r="R546" s="23"/>
      <c r="S546" s="23"/>
      <c r="T546" s="23"/>
      <c r="U546" s="48"/>
    </row>
    <row r="547" spans="3:21" x14ac:dyDescent="0.25">
      <c r="C547" s="46"/>
      <c r="D547" s="23"/>
      <c r="E547" s="23"/>
      <c r="F547" s="23"/>
      <c r="G547" s="23"/>
      <c r="H547" s="23"/>
      <c r="I547" s="23"/>
      <c r="J547" s="23"/>
      <c r="K547" s="23"/>
      <c r="L547" s="23"/>
      <c r="M547" s="23"/>
      <c r="N547" s="23"/>
      <c r="O547" s="23"/>
      <c r="P547" s="23"/>
      <c r="Q547" s="23"/>
      <c r="R547" s="23"/>
      <c r="S547" s="23"/>
      <c r="T547" s="23"/>
      <c r="U547" s="48"/>
    </row>
    <row r="548" spans="3:21" x14ac:dyDescent="0.25">
      <c r="C548" s="46"/>
      <c r="D548" s="23"/>
      <c r="E548" s="23"/>
      <c r="F548" s="23"/>
      <c r="G548" s="23"/>
      <c r="H548" s="23"/>
      <c r="I548" s="23"/>
      <c r="J548" s="23"/>
      <c r="K548" s="23"/>
      <c r="L548" s="23"/>
      <c r="M548" s="23"/>
      <c r="N548" s="23"/>
      <c r="O548" s="23"/>
      <c r="P548" s="23"/>
      <c r="Q548" s="23"/>
      <c r="R548" s="23"/>
      <c r="S548" s="23"/>
      <c r="T548" s="23"/>
      <c r="U548" s="48"/>
    </row>
    <row r="549" spans="3:21" x14ac:dyDescent="0.25">
      <c r="C549" s="46"/>
      <c r="D549" s="23"/>
      <c r="E549" s="23"/>
      <c r="F549" s="23"/>
      <c r="G549" s="23"/>
      <c r="H549" s="23"/>
      <c r="I549" s="23"/>
      <c r="J549" s="23"/>
      <c r="K549" s="23"/>
      <c r="L549" s="23"/>
      <c r="M549" s="23"/>
      <c r="N549" s="23"/>
      <c r="O549" s="23"/>
      <c r="P549" s="23"/>
      <c r="Q549" s="23"/>
      <c r="R549" s="23"/>
      <c r="S549" s="23"/>
      <c r="T549" s="23"/>
      <c r="U549" s="48"/>
    </row>
    <row r="550" spans="3:21" ht="15.75" thickBot="1" x14ac:dyDescent="0.3">
      <c r="C550" s="52"/>
      <c r="D550" s="53"/>
      <c r="E550" s="53"/>
      <c r="F550" s="53"/>
      <c r="G550" s="53"/>
      <c r="H550" s="53"/>
      <c r="I550" s="53"/>
      <c r="J550" s="53"/>
      <c r="K550" s="53"/>
      <c r="L550" s="53"/>
      <c r="M550" s="53"/>
      <c r="N550" s="53"/>
      <c r="O550" s="53"/>
      <c r="P550" s="53"/>
      <c r="Q550" s="53"/>
      <c r="R550" s="53"/>
      <c r="S550" s="53"/>
      <c r="T550" s="53"/>
      <c r="U550" s="54"/>
    </row>
  </sheetData>
  <mergeCells count="6">
    <mergeCell ref="D14:T14"/>
    <mergeCell ref="D20:T20"/>
    <mergeCell ref="D17:T17"/>
    <mergeCell ref="D23:T23"/>
    <mergeCell ref="D26:T26"/>
    <mergeCell ref="D29:T29"/>
  </mergeCells>
  <hyperlinks>
    <hyperlink ref="D9" r:id="rId1" xr:uid="{477722F5-A505-4D85-B981-92309D9065FA}"/>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25"/>
  <sheetViews>
    <sheetView tabSelected="1" workbookViewId="0">
      <pane xSplit="3" ySplit="11" topLeftCell="D12" activePane="bottomRight" state="frozen"/>
      <selection pane="topRight" activeCell="D1" sqref="D1"/>
      <selection pane="bottomLeft" activeCell="A9" sqref="A9"/>
      <selection pane="bottomRight" activeCell="C7" sqref="C7"/>
    </sheetView>
  </sheetViews>
  <sheetFormatPr defaultRowHeight="15" x14ac:dyDescent="0.25"/>
  <cols>
    <col min="1" max="1" width="20.7109375" customWidth="1"/>
    <col min="2" max="2" width="18.7109375" customWidth="1"/>
    <col min="3" max="3" width="40.7109375" customWidth="1"/>
    <col min="4" max="4" width="20.7109375" customWidth="1"/>
    <col min="5" max="7" width="18.7109375" customWidth="1"/>
    <col min="8" max="9" width="32.7109375" customWidth="1"/>
    <col min="10" max="27" width="32.7109375" style="1" customWidth="1"/>
    <col min="28" max="28" width="32.7109375" customWidth="1"/>
    <col min="29" max="34" width="32.7109375" style="1" customWidth="1"/>
    <col min="35" max="35" width="17.28515625" style="31" hidden="1" customWidth="1"/>
    <col min="36" max="36" width="32.7109375" style="1" customWidth="1"/>
  </cols>
  <sheetData>
    <row r="1" spans="1:36" ht="18.75" x14ac:dyDescent="0.3">
      <c r="A1" s="41" t="s">
        <v>362</v>
      </c>
      <c r="C1" s="63" t="s">
        <v>386</v>
      </c>
      <c r="D1" s="19"/>
      <c r="I1" s="1"/>
      <c r="AB1" s="1"/>
      <c r="AJ1"/>
    </row>
    <row r="2" spans="1:36" x14ac:dyDescent="0.25">
      <c r="I2" s="1"/>
      <c r="AB2" s="1"/>
      <c r="AJ2"/>
    </row>
    <row r="3" spans="1:36" x14ac:dyDescent="0.25">
      <c r="A3" t="s">
        <v>203</v>
      </c>
      <c r="B3" s="20"/>
      <c r="I3" s="1"/>
      <c r="AB3" s="1"/>
      <c r="AJ3"/>
    </row>
    <row r="4" spans="1:36" x14ac:dyDescent="0.25">
      <c r="A4" t="s">
        <v>204</v>
      </c>
      <c r="B4" s="21"/>
      <c r="I4" s="1"/>
      <c r="AB4" s="1"/>
      <c r="AJ4"/>
    </row>
    <row r="5" spans="1:36" x14ac:dyDescent="0.25">
      <c r="D5" s="23"/>
      <c r="I5" s="1"/>
      <c r="AB5" s="1"/>
      <c r="AJ5"/>
    </row>
    <row r="6" spans="1:36" x14ac:dyDescent="0.25">
      <c r="D6" s="23"/>
      <c r="I6" s="1"/>
      <c r="AB6" s="1"/>
      <c r="AJ6"/>
    </row>
    <row r="7" spans="1:36" x14ac:dyDescent="0.25">
      <c r="D7" s="23"/>
      <c r="I7" s="1"/>
      <c r="AB7" s="1"/>
      <c r="AJ7"/>
    </row>
    <row r="8" spans="1:36" x14ac:dyDescent="0.25">
      <c r="D8" s="23"/>
      <c r="I8" s="1"/>
      <c r="AB8" s="1"/>
      <c r="AJ8"/>
    </row>
    <row r="9" spans="1:36" x14ac:dyDescent="0.25">
      <c r="A9" s="67" t="s">
        <v>360</v>
      </c>
      <c r="B9" s="67"/>
      <c r="J9"/>
      <c r="K9"/>
      <c r="L9"/>
      <c r="M9"/>
      <c r="N9"/>
      <c r="O9"/>
      <c r="P9"/>
      <c r="Q9"/>
      <c r="R9"/>
      <c r="S9"/>
      <c r="T9"/>
      <c r="U9"/>
      <c r="V9"/>
      <c r="W9"/>
      <c r="X9"/>
      <c r="Y9"/>
      <c r="Z9"/>
      <c r="AA9"/>
      <c r="AC9"/>
      <c r="AD9"/>
      <c r="AE9"/>
      <c r="AF9"/>
      <c r="AG9"/>
      <c r="AH9"/>
      <c r="AJ9"/>
    </row>
    <row r="10" spans="1:36" ht="15" customHeight="1" x14ac:dyDescent="0.25">
      <c r="B10" s="22"/>
      <c r="D10" s="22"/>
      <c r="I10" s="1"/>
      <c r="AB10" s="1"/>
      <c r="AJ10"/>
    </row>
    <row r="11" spans="1:36" x14ac:dyDescent="0.25">
      <c r="A11" s="29" t="s">
        <v>22</v>
      </c>
      <c r="B11" s="29" t="s">
        <v>205</v>
      </c>
      <c r="C11" s="27" t="s">
        <v>24</v>
      </c>
      <c r="D11" s="30" t="s">
        <v>206</v>
      </c>
      <c r="E11" s="27" t="s">
        <v>207</v>
      </c>
      <c r="F11" s="27" t="s">
        <v>208</v>
      </c>
      <c r="G11" s="31" t="s">
        <v>197</v>
      </c>
      <c r="H11" s="27" t="s">
        <v>209</v>
      </c>
      <c r="I11" s="27" t="s">
        <v>210</v>
      </c>
      <c r="J11" s="27" t="s">
        <v>211</v>
      </c>
      <c r="K11" s="27" t="s">
        <v>212</v>
      </c>
      <c r="L11" s="28" t="s">
        <v>213</v>
      </c>
      <c r="M11" s="27" t="s">
        <v>214</v>
      </c>
      <c r="N11" s="27" t="s">
        <v>215</v>
      </c>
      <c r="O11" s="27" t="s">
        <v>216</v>
      </c>
      <c r="P11" s="27" t="s">
        <v>217</v>
      </c>
      <c r="Q11" s="27" t="s">
        <v>218</v>
      </c>
      <c r="R11" s="27" t="s">
        <v>219</v>
      </c>
      <c r="S11" s="27" t="s">
        <v>220</v>
      </c>
      <c r="T11" s="27" t="s">
        <v>221</v>
      </c>
      <c r="U11" s="27" t="s">
        <v>222</v>
      </c>
      <c r="V11" s="27" t="s">
        <v>223</v>
      </c>
      <c r="W11" s="27" t="s">
        <v>224</v>
      </c>
      <c r="X11" s="27" t="s">
        <v>225</v>
      </c>
      <c r="Y11" s="27" t="s">
        <v>226</v>
      </c>
      <c r="Z11" s="27" t="s">
        <v>227</v>
      </c>
      <c r="AA11" s="27" t="s">
        <v>232</v>
      </c>
      <c r="AB11" s="27" t="s">
        <v>228</v>
      </c>
      <c r="AC11" s="27" t="s">
        <v>229</v>
      </c>
      <c r="AD11" s="27" t="s">
        <v>230</v>
      </c>
      <c r="AE11" s="27" t="s">
        <v>231</v>
      </c>
      <c r="AF11" s="27" t="s">
        <v>233</v>
      </c>
      <c r="AG11" s="27" t="s">
        <v>234</v>
      </c>
      <c r="AH11" s="27" t="s">
        <v>235</v>
      </c>
      <c r="AI11" s="27" t="s">
        <v>275</v>
      </c>
      <c r="AJ11"/>
    </row>
    <row r="12" spans="1:36" s="35" customFormat="1" x14ac:dyDescent="0.25">
      <c r="A12" s="68" t="s">
        <v>174</v>
      </c>
      <c r="B12" s="33" t="s">
        <v>281</v>
      </c>
      <c r="C12" s="25" t="s">
        <v>176</v>
      </c>
      <c r="D12" s="34" t="s">
        <v>357</v>
      </c>
      <c r="E12" s="32" t="s">
        <v>175</v>
      </c>
      <c r="F12" s="32" t="s">
        <v>177</v>
      </c>
      <c r="G12" s="32" t="s">
        <v>178</v>
      </c>
      <c r="H12" s="25" t="s">
        <v>179</v>
      </c>
      <c r="I12" s="25"/>
      <c r="J12" s="25"/>
      <c r="K12" s="25"/>
      <c r="L12" s="26"/>
      <c r="M12" s="25"/>
      <c r="N12" s="25"/>
      <c r="O12" s="25"/>
      <c r="P12" s="25"/>
      <c r="Q12" s="25"/>
      <c r="R12" s="25"/>
      <c r="S12" s="25"/>
      <c r="T12" s="25"/>
      <c r="U12" s="25"/>
      <c r="V12" s="25"/>
      <c r="W12" s="25"/>
      <c r="X12" s="25"/>
      <c r="Y12" s="25"/>
      <c r="Z12" s="25"/>
      <c r="AA12" s="25"/>
      <c r="AB12" s="25"/>
      <c r="AC12" s="25"/>
      <c r="AD12" s="25"/>
      <c r="AE12" s="25"/>
      <c r="AF12" s="25"/>
      <c r="AG12" s="25"/>
      <c r="AH12" s="25"/>
      <c r="AI12" s="58" t="s">
        <v>282</v>
      </c>
    </row>
    <row r="13" spans="1:36" s="35" customFormat="1" ht="75" x14ac:dyDescent="0.25">
      <c r="A13" s="65" t="s">
        <v>174</v>
      </c>
      <c r="B13" s="33" t="s">
        <v>281</v>
      </c>
      <c r="C13" s="25" t="s">
        <v>182</v>
      </c>
      <c r="D13" s="34" t="s">
        <v>364</v>
      </c>
      <c r="E13" s="32" t="s">
        <v>181</v>
      </c>
      <c r="F13" s="32" t="s">
        <v>183</v>
      </c>
      <c r="G13" s="32" t="s">
        <v>184</v>
      </c>
      <c r="H13" s="25" t="s">
        <v>283</v>
      </c>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58" t="s">
        <v>284</v>
      </c>
    </row>
    <row r="14" spans="1:36" s="36" customFormat="1" ht="180" x14ac:dyDescent="0.25">
      <c r="A14" s="65" t="s">
        <v>174</v>
      </c>
      <c r="B14" s="33" t="s">
        <v>281</v>
      </c>
      <c r="C14" s="25" t="s">
        <v>195</v>
      </c>
      <c r="D14" s="34" t="s">
        <v>364</v>
      </c>
      <c r="E14" s="32" t="s">
        <v>194</v>
      </c>
      <c r="F14" s="32" t="s">
        <v>196</v>
      </c>
      <c r="G14" s="32" t="s">
        <v>197</v>
      </c>
      <c r="H14" s="25" t="s">
        <v>198</v>
      </c>
      <c r="I14" s="64" t="s">
        <v>286</v>
      </c>
      <c r="J14" s="64" t="s">
        <v>287</v>
      </c>
      <c r="K14" s="64" t="s">
        <v>288</v>
      </c>
      <c r="L14" s="65" t="s">
        <v>289</v>
      </c>
      <c r="M14" s="64" t="s">
        <v>290</v>
      </c>
      <c r="N14" s="64" t="s">
        <v>291</v>
      </c>
      <c r="O14" s="64" t="s">
        <v>292</v>
      </c>
      <c r="P14" s="64" t="s">
        <v>293</v>
      </c>
      <c r="Q14" s="25"/>
      <c r="R14" s="64" t="s">
        <v>294</v>
      </c>
      <c r="S14" s="64" t="s">
        <v>295</v>
      </c>
      <c r="T14" s="64" t="s">
        <v>296</v>
      </c>
      <c r="U14" s="64" t="s">
        <v>297</v>
      </c>
      <c r="V14" s="25"/>
      <c r="W14" s="25"/>
      <c r="X14" s="25"/>
      <c r="Y14" s="25"/>
      <c r="Z14" s="25"/>
      <c r="AA14" s="64" t="s">
        <v>298</v>
      </c>
      <c r="AB14" s="64" t="s">
        <v>299</v>
      </c>
      <c r="AC14" s="64" t="s">
        <v>300</v>
      </c>
      <c r="AD14" s="64" t="s">
        <v>301</v>
      </c>
      <c r="AE14" s="64" t="s">
        <v>302</v>
      </c>
      <c r="AF14" s="64" t="s">
        <v>303</v>
      </c>
      <c r="AG14" s="64" t="s">
        <v>304</v>
      </c>
      <c r="AH14" s="64" t="s">
        <v>305</v>
      </c>
      <c r="AI14" s="58" t="s">
        <v>306</v>
      </c>
    </row>
    <row r="15" spans="1:36" s="24" customFormat="1" ht="105" x14ac:dyDescent="0.25">
      <c r="A15" s="65" t="s">
        <v>277</v>
      </c>
      <c r="B15" s="33" t="s">
        <v>307</v>
      </c>
      <c r="C15" s="25" t="s">
        <v>251</v>
      </c>
      <c r="D15" s="34" t="s">
        <v>361</v>
      </c>
      <c r="E15" s="32" t="s">
        <v>308</v>
      </c>
      <c r="F15" s="32" t="s">
        <v>193</v>
      </c>
      <c r="G15" s="32" t="s">
        <v>193</v>
      </c>
      <c r="H15" s="25" t="s">
        <v>252</v>
      </c>
      <c r="I15" s="25"/>
      <c r="J15" s="25"/>
      <c r="K15" s="25"/>
      <c r="L15" s="25"/>
      <c r="M15" s="65" t="s">
        <v>309</v>
      </c>
      <c r="N15" s="25"/>
      <c r="O15" s="25"/>
      <c r="P15" s="65" t="s">
        <v>310</v>
      </c>
      <c r="Q15" s="65" t="s">
        <v>311</v>
      </c>
      <c r="R15" s="25"/>
      <c r="S15" s="65" t="s">
        <v>312</v>
      </c>
      <c r="T15" s="65" t="s">
        <v>313</v>
      </c>
      <c r="U15" s="65" t="s">
        <v>314</v>
      </c>
      <c r="V15" s="25"/>
      <c r="W15" s="25"/>
      <c r="X15" s="65" t="s">
        <v>315</v>
      </c>
      <c r="Y15" s="25"/>
      <c r="Z15" s="65" t="s">
        <v>316</v>
      </c>
      <c r="AA15" s="25"/>
      <c r="AB15" s="25"/>
      <c r="AC15" s="25"/>
      <c r="AD15" s="25"/>
      <c r="AE15" s="25"/>
      <c r="AF15" s="25"/>
      <c r="AG15" s="25"/>
      <c r="AH15" s="64" t="s">
        <v>317</v>
      </c>
      <c r="AI15" s="58" t="s">
        <v>318</v>
      </c>
    </row>
    <row r="16" spans="1:36" s="24" customFormat="1" ht="90" x14ac:dyDescent="0.25">
      <c r="A16" s="65" t="s">
        <v>261</v>
      </c>
      <c r="B16" s="33" t="s">
        <v>307</v>
      </c>
      <c r="C16" s="25" t="s">
        <v>263</v>
      </c>
      <c r="D16" s="34" t="s">
        <v>361</v>
      </c>
      <c r="E16" s="32" t="s">
        <v>262</v>
      </c>
      <c r="F16" s="32" t="s">
        <v>189</v>
      </c>
      <c r="G16" s="32" t="s">
        <v>264</v>
      </c>
      <c r="H16" s="25" t="s">
        <v>265</v>
      </c>
      <c r="I16" s="64" t="s">
        <v>319</v>
      </c>
      <c r="J16" s="65" t="s">
        <v>320</v>
      </c>
      <c r="K16" s="25"/>
      <c r="L16" s="25"/>
      <c r="M16" s="64" t="s">
        <v>321</v>
      </c>
      <c r="N16" s="25"/>
      <c r="O16" s="65" t="s">
        <v>322</v>
      </c>
      <c r="P16" s="25"/>
      <c r="Q16" s="64" t="s">
        <v>323</v>
      </c>
      <c r="R16" s="25"/>
      <c r="S16" s="25"/>
      <c r="T16" s="25"/>
      <c r="U16" s="25"/>
      <c r="V16" s="25"/>
      <c r="W16" s="25"/>
      <c r="X16" s="25"/>
      <c r="Y16" s="25"/>
      <c r="Z16" s="25"/>
      <c r="AA16" s="25"/>
      <c r="AB16" s="25"/>
      <c r="AC16" s="25"/>
      <c r="AD16" s="25"/>
      <c r="AE16" s="25"/>
      <c r="AF16" s="25"/>
      <c r="AG16" s="25"/>
      <c r="AH16" s="25"/>
      <c r="AI16" s="58" t="s">
        <v>324</v>
      </c>
    </row>
    <row r="17" spans="1:36" s="24" customFormat="1" ht="225" x14ac:dyDescent="0.25">
      <c r="A17" s="65" t="s">
        <v>174</v>
      </c>
      <c r="B17" s="33" t="s">
        <v>325</v>
      </c>
      <c r="C17" s="25" t="s">
        <v>280</v>
      </c>
      <c r="D17" s="34" t="s">
        <v>358</v>
      </c>
      <c r="E17" s="65"/>
      <c r="F17" s="32" t="s">
        <v>177</v>
      </c>
      <c r="G17" s="65"/>
      <c r="H17" s="25" t="s">
        <v>327</v>
      </c>
      <c r="I17" s="65" t="s">
        <v>328</v>
      </c>
      <c r="J17" s="65" t="s">
        <v>329</v>
      </c>
      <c r="K17" s="65" t="s">
        <v>330</v>
      </c>
      <c r="L17" s="65" t="s">
        <v>331</v>
      </c>
      <c r="M17" s="25"/>
      <c r="N17" s="25"/>
      <c r="O17" s="25"/>
      <c r="P17" s="25"/>
      <c r="Q17" s="25"/>
      <c r="R17" s="25"/>
      <c r="S17" s="25"/>
      <c r="T17" s="25"/>
      <c r="U17" s="25"/>
      <c r="V17" s="25"/>
      <c r="W17" s="25"/>
      <c r="X17" s="25"/>
      <c r="Y17" s="25"/>
      <c r="Z17" s="25"/>
      <c r="AA17" s="25"/>
      <c r="AB17" s="25"/>
      <c r="AC17" s="25"/>
      <c r="AD17" s="25"/>
      <c r="AE17" s="25"/>
      <c r="AF17" s="25"/>
      <c r="AG17" s="25"/>
      <c r="AH17" s="25"/>
      <c r="AI17" s="58" t="s">
        <v>347</v>
      </c>
    </row>
    <row r="18" spans="1:36" ht="180" x14ac:dyDescent="0.25">
      <c r="A18" s="65" t="s">
        <v>174</v>
      </c>
      <c r="B18" s="33" t="s">
        <v>281</v>
      </c>
      <c r="C18" s="25" t="s">
        <v>195</v>
      </c>
      <c r="D18" s="34" t="s">
        <v>285</v>
      </c>
      <c r="E18" s="32" t="s">
        <v>194</v>
      </c>
      <c r="F18" s="32" t="s">
        <v>196</v>
      </c>
      <c r="G18" s="32" t="s">
        <v>197</v>
      </c>
      <c r="H18" s="25" t="s">
        <v>198</v>
      </c>
      <c r="I18" s="64" t="s">
        <v>286</v>
      </c>
      <c r="J18" s="64" t="s">
        <v>287</v>
      </c>
      <c r="K18" s="64" t="s">
        <v>288</v>
      </c>
      <c r="L18" s="65" t="s">
        <v>289</v>
      </c>
      <c r="M18" s="64" t="s">
        <v>290</v>
      </c>
      <c r="N18" s="64" t="s">
        <v>291</v>
      </c>
      <c r="O18" s="64" t="s">
        <v>292</v>
      </c>
      <c r="P18" s="64" t="s">
        <v>293</v>
      </c>
      <c r="Q18" s="25"/>
      <c r="R18" s="64" t="s">
        <v>294</v>
      </c>
      <c r="S18" s="64" t="s">
        <v>295</v>
      </c>
      <c r="T18" s="64" t="s">
        <v>296</v>
      </c>
      <c r="U18" s="64" t="s">
        <v>297</v>
      </c>
      <c r="V18" s="25"/>
      <c r="W18" s="25"/>
      <c r="X18" s="25"/>
      <c r="Y18" s="25"/>
      <c r="Z18" s="25"/>
      <c r="AA18" s="64" t="s">
        <v>298</v>
      </c>
      <c r="AB18" s="64" t="s">
        <v>299</v>
      </c>
      <c r="AC18" s="64" t="s">
        <v>300</v>
      </c>
      <c r="AD18" s="64" t="s">
        <v>301</v>
      </c>
      <c r="AE18" s="64" t="s">
        <v>302</v>
      </c>
      <c r="AF18" s="64" t="s">
        <v>303</v>
      </c>
      <c r="AG18" s="64" t="s">
        <v>304</v>
      </c>
      <c r="AH18" s="64" t="s">
        <v>305</v>
      </c>
      <c r="AI18" s="58" t="s">
        <v>348</v>
      </c>
      <c r="AJ18"/>
    </row>
    <row r="19" spans="1:36" ht="240" x14ac:dyDescent="0.25">
      <c r="A19" s="65" t="s">
        <v>174</v>
      </c>
      <c r="B19" s="33" t="s">
        <v>325</v>
      </c>
      <c r="C19" s="25" t="s">
        <v>280</v>
      </c>
      <c r="D19" s="34" t="s">
        <v>364</v>
      </c>
      <c r="E19" s="65"/>
      <c r="F19" s="32" t="s">
        <v>177</v>
      </c>
      <c r="G19" s="65"/>
      <c r="H19" s="25" t="s">
        <v>327</v>
      </c>
      <c r="I19" s="65" t="s">
        <v>328</v>
      </c>
      <c r="J19" s="65" t="s">
        <v>329</v>
      </c>
      <c r="K19" s="65" t="s">
        <v>330</v>
      </c>
      <c r="L19" s="65" t="s">
        <v>331</v>
      </c>
      <c r="M19" s="65" t="s">
        <v>332</v>
      </c>
      <c r="N19" s="65" t="s">
        <v>333</v>
      </c>
      <c r="O19" s="65" t="s">
        <v>334</v>
      </c>
      <c r="P19" s="65" t="s">
        <v>335</v>
      </c>
      <c r="Q19" s="65" t="s">
        <v>356</v>
      </c>
      <c r="R19" s="65" t="s">
        <v>334</v>
      </c>
      <c r="S19" s="65" t="s">
        <v>336</v>
      </c>
      <c r="T19" s="65" t="s">
        <v>337</v>
      </c>
      <c r="U19" s="65" t="s">
        <v>337</v>
      </c>
      <c r="V19" s="65" t="s">
        <v>337</v>
      </c>
      <c r="W19" s="65" t="s">
        <v>337</v>
      </c>
      <c r="X19" s="65" t="s">
        <v>337</v>
      </c>
      <c r="Y19" s="65" t="s">
        <v>337</v>
      </c>
      <c r="Z19" s="65" t="s">
        <v>338</v>
      </c>
      <c r="AA19" s="65" t="s">
        <v>339</v>
      </c>
      <c r="AB19" s="65" t="s">
        <v>340</v>
      </c>
      <c r="AC19" s="65" t="s">
        <v>341</v>
      </c>
      <c r="AD19" s="65" t="s">
        <v>342</v>
      </c>
      <c r="AE19" s="65" t="s">
        <v>343</v>
      </c>
      <c r="AF19" s="65" t="s">
        <v>344</v>
      </c>
      <c r="AG19" s="65" t="s">
        <v>345</v>
      </c>
      <c r="AH19" s="65" t="s">
        <v>346</v>
      </c>
      <c r="AI19" s="58" t="s">
        <v>349</v>
      </c>
      <c r="AJ19"/>
    </row>
    <row r="20" spans="1:36" ht="180" x14ac:dyDescent="0.25">
      <c r="A20" s="65" t="s">
        <v>174</v>
      </c>
      <c r="B20" s="33" t="s">
        <v>281</v>
      </c>
      <c r="C20" s="25" t="s">
        <v>195</v>
      </c>
      <c r="D20" s="34" t="s">
        <v>285</v>
      </c>
      <c r="E20" s="32" t="s">
        <v>194</v>
      </c>
      <c r="F20" s="32" t="s">
        <v>196</v>
      </c>
      <c r="G20" s="32" t="s">
        <v>197</v>
      </c>
      <c r="H20" s="25" t="s">
        <v>198</v>
      </c>
      <c r="I20" s="64" t="s">
        <v>286</v>
      </c>
      <c r="J20" s="64" t="s">
        <v>287</v>
      </c>
      <c r="K20" s="64" t="s">
        <v>288</v>
      </c>
      <c r="L20" s="65" t="s">
        <v>289</v>
      </c>
      <c r="M20" s="64" t="s">
        <v>290</v>
      </c>
      <c r="N20" s="64" t="s">
        <v>291</v>
      </c>
      <c r="O20" s="64" t="s">
        <v>292</v>
      </c>
      <c r="P20" s="64" t="s">
        <v>293</v>
      </c>
      <c r="Q20" s="25"/>
      <c r="R20" s="64" t="s">
        <v>294</v>
      </c>
      <c r="S20" s="64" t="s">
        <v>295</v>
      </c>
      <c r="T20" s="64" t="s">
        <v>296</v>
      </c>
      <c r="U20" s="64" t="s">
        <v>297</v>
      </c>
      <c r="V20" s="25"/>
      <c r="W20" s="25"/>
      <c r="X20" s="25"/>
      <c r="Y20" s="25"/>
      <c r="Z20" s="25"/>
      <c r="AA20" s="64" t="s">
        <v>298</v>
      </c>
      <c r="AB20" s="64" t="s">
        <v>299</v>
      </c>
      <c r="AC20" s="64" t="s">
        <v>300</v>
      </c>
      <c r="AD20" s="64" t="s">
        <v>301</v>
      </c>
      <c r="AE20" s="64" t="s">
        <v>302</v>
      </c>
      <c r="AF20" s="64" t="s">
        <v>303</v>
      </c>
      <c r="AG20" s="64" t="s">
        <v>304</v>
      </c>
      <c r="AH20" s="64" t="s">
        <v>305</v>
      </c>
      <c r="AI20" s="58" t="s">
        <v>350</v>
      </c>
      <c r="AJ20"/>
    </row>
    <row r="21" spans="1:36" ht="240" x14ac:dyDescent="0.25">
      <c r="A21" s="65" t="s">
        <v>174</v>
      </c>
      <c r="B21" s="33" t="s">
        <v>325</v>
      </c>
      <c r="C21" s="25" t="s">
        <v>280</v>
      </c>
      <c r="D21" s="34" t="s">
        <v>326</v>
      </c>
      <c r="E21" s="65"/>
      <c r="F21" s="32" t="s">
        <v>177</v>
      </c>
      <c r="G21" s="65"/>
      <c r="H21" s="25" t="s">
        <v>327</v>
      </c>
      <c r="I21" s="65" t="s">
        <v>328</v>
      </c>
      <c r="J21" s="65" t="s">
        <v>329</v>
      </c>
      <c r="K21" s="65" t="s">
        <v>330</v>
      </c>
      <c r="L21" s="65" t="s">
        <v>331</v>
      </c>
      <c r="M21" s="65" t="s">
        <v>332</v>
      </c>
      <c r="N21" s="65" t="s">
        <v>333</v>
      </c>
      <c r="O21" s="65" t="s">
        <v>334</v>
      </c>
      <c r="P21" s="65" t="s">
        <v>335</v>
      </c>
      <c r="Q21" s="65" t="s">
        <v>356</v>
      </c>
      <c r="R21" s="65" t="s">
        <v>334</v>
      </c>
      <c r="S21" s="65" t="s">
        <v>336</v>
      </c>
      <c r="T21" s="65" t="s">
        <v>337</v>
      </c>
      <c r="U21" s="65" t="s">
        <v>337</v>
      </c>
      <c r="V21" s="65" t="s">
        <v>337</v>
      </c>
      <c r="W21" s="65" t="s">
        <v>337</v>
      </c>
      <c r="X21" s="65" t="s">
        <v>337</v>
      </c>
      <c r="Y21" s="65" t="s">
        <v>337</v>
      </c>
      <c r="Z21" s="65" t="s">
        <v>338</v>
      </c>
      <c r="AA21" s="65" t="s">
        <v>339</v>
      </c>
      <c r="AB21" s="65" t="s">
        <v>340</v>
      </c>
      <c r="AC21" s="65" t="s">
        <v>341</v>
      </c>
      <c r="AD21" s="65" t="s">
        <v>342</v>
      </c>
      <c r="AE21" s="65" t="s">
        <v>343</v>
      </c>
      <c r="AF21" s="65" t="s">
        <v>344</v>
      </c>
      <c r="AG21" s="65" t="s">
        <v>345</v>
      </c>
      <c r="AH21" s="65" t="s">
        <v>346</v>
      </c>
      <c r="AI21" s="58" t="s">
        <v>351</v>
      </c>
    </row>
    <row r="22" spans="1:36" ht="180" x14ac:dyDescent="0.25">
      <c r="A22" s="65" t="s">
        <v>174</v>
      </c>
      <c r="B22" s="33" t="s">
        <v>281</v>
      </c>
      <c r="C22" s="25" t="s">
        <v>195</v>
      </c>
      <c r="D22" s="34" t="s">
        <v>285</v>
      </c>
      <c r="E22" s="32" t="s">
        <v>194</v>
      </c>
      <c r="F22" s="32" t="s">
        <v>196</v>
      </c>
      <c r="G22" s="32" t="s">
        <v>197</v>
      </c>
      <c r="H22" s="25" t="s">
        <v>198</v>
      </c>
      <c r="I22" s="64" t="s">
        <v>286</v>
      </c>
      <c r="J22" s="64" t="s">
        <v>287</v>
      </c>
      <c r="K22" s="64" t="s">
        <v>288</v>
      </c>
      <c r="L22" s="65" t="s">
        <v>289</v>
      </c>
      <c r="M22" s="64" t="s">
        <v>290</v>
      </c>
      <c r="N22" s="64" t="s">
        <v>291</v>
      </c>
      <c r="O22" s="64" t="s">
        <v>292</v>
      </c>
      <c r="P22" s="64" t="s">
        <v>293</v>
      </c>
      <c r="Q22" s="25"/>
      <c r="R22" s="64" t="s">
        <v>294</v>
      </c>
      <c r="S22" s="64" t="s">
        <v>295</v>
      </c>
      <c r="T22" s="64" t="s">
        <v>296</v>
      </c>
      <c r="U22" s="64" t="s">
        <v>297</v>
      </c>
      <c r="V22" s="25"/>
      <c r="W22" s="25"/>
      <c r="X22" s="25"/>
      <c r="Y22" s="25"/>
      <c r="Z22" s="25"/>
      <c r="AA22" s="64" t="s">
        <v>298</v>
      </c>
      <c r="AB22" s="64" t="s">
        <v>299</v>
      </c>
      <c r="AC22" s="64" t="s">
        <v>300</v>
      </c>
      <c r="AD22" s="64" t="s">
        <v>301</v>
      </c>
      <c r="AE22" s="64" t="s">
        <v>302</v>
      </c>
      <c r="AF22" s="64" t="s">
        <v>303</v>
      </c>
      <c r="AG22" s="64" t="s">
        <v>304</v>
      </c>
      <c r="AH22" s="64" t="s">
        <v>305</v>
      </c>
      <c r="AI22" s="58" t="s">
        <v>352</v>
      </c>
    </row>
    <row r="23" spans="1:36" ht="240" x14ac:dyDescent="0.25">
      <c r="A23" s="65" t="s">
        <v>174</v>
      </c>
      <c r="B23" s="33" t="s">
        <v>325</v>
      </c>
      <c r="C23" s="25" t="s">
        <v>280</v>
      </c>
      <c r="D23" s="34" t="s">
        <v>326</v>
      </c>
      <c r="E23" s="65"/>
      <c r="F23" s="32" t="s">
        <v>177</v>
      </c>
      <c r="G23" s="65"/>
      <c r="H23" s="25" t="s">
        <v>327</v>
      </c>
      <c r="I23" s="65" t="s">
        <v>328</v>
      </c>
      <c r="J23" s="65" t="s">
        <v>329</v>
      </c>
      <c r="K23" s="65" t="s">
        <v>330</v>
      </c>
      <c r="L23" s="65" t="s">
        <v>331</v>
      </c>
      <c r="M23" s="65" t="s">
        <v>332</v>
      </c>
      <c r="N23" s="65" t="s">
        <v>333</v>
      </c>
      <c r="O23" s="65" t="s">
        <v>334</v>
      </c>
      <c r="P23" s="65" t="s">
        <v>335</v>
      </c>
      <c r="Q23" s="65" t="s">
        <v>356</v>
      </c>
      <c r="R23" s="65" t="s">
        <v>334</v>
      </c>
      <c r="S23" s="65" t="s">
        <v>336</v>
      </c>
      <c r="T23" s="65" t="s">
        <v>337</v>
      </c>
      <c r="U23" s="65" t="s">
        <v>337</v>
      </c>
      <c r="V23" s="65" t="s">
        <v>337</v>
      </c>
      <c r="W23" s="65" t="s">
        <v>337</v>
      </c>
      <c r="X23" s="65" t="s">
        <v>337</v>
      </c>
      <c r="Y23" s="65" t="s">
        <v>337</v>
      </c>
      <c r="Z23" s="65" t="s">
        <v>338</v>
      </c>
      <c r="AA23" s="65" t="s">
        <v>339</v>
      </c>
      <c r="AB23" s="65" t="s">
        <v>340</v>
      </c>
      <c r="AC23" s="65" t="s">
        <v>341</v>
      </c>
      <c r="AD23" s="65" t="s">
        <v>342</v>
      </c>
      <c r="AE23" s="65" t="s">
        <v>343</v>
      </c>
      <c r="AF23" s="65" t="s">
        <v>344</v>
      </c>
      <c r="AG23" s="65" t="s">
        <v>345</v>
      </c>
      <c r="AH23" s="65" t="s">
        <v>346</v>
      </c>
      <c r="AI23" s="58" t="s">
        <v>353</v>
      </c>
    </row>
    <row r="24" spans="1:36" ht="180" x14ac:dyDescent="0.25">
      <c r="A24" s="65" t="s">
        <v>174</v>
      </c>
      <c r="B24" s="33" t="s">
        <v>281</v>
      </c>
      <c r="C24" s="25" t="s">
        <v>195</v>
      </c>
      <c r="D24" s="34" t="s">
        <v>380</v>
      </c>
      <c r="E24" s="32" t="s">
        <v>194</v>
      </c>
      <c r="F24" s="32" t="s">
        <v>196</v>
      </c>
      <c r="G24" s="32" t="s">
        <v>197</v>
      </c>
      <c r="H24" s="25" t="s">
        <v>198</v>
      </c>
      <c r="I24" s="64" t="s">
        <v>286</v>
      </c>
      <c r="J24" s="64" t="s">
        <v>287</v>
      </c>
      <c r="K24" s="64" t="s">
        <v>288</v>
      </c>
      <c r="L24" s="65" t="s">
        <v>381</v>
      </c>
      <c r="M24" s="64" t="s">
        <v>290</v>
      </c>
      <c r="N24" s="64" t="s">
        <v>291</v>
      </c>
      <c r="O24" s="64" t="s">
        <v>292</v>
      </c>
      <c r="P24" s="64" t="s">
        <v>293</v>
      </c>
      <c r="Q24" s="25"/>
      <c r="R24" s="64" t="s">
        <v>294</v>
      </c>
      <c r="S24" s="64" t="s">
        <v>295</v>
      </c>
      <c r="T24" s="64" t="s">
        <v>296</v>
      </c>
      <c r="U24" s="64" t="s">
        <v>297</v>
      </c>
      <c r="V24" s="25"/>
      <c r="W24" s="25"/>
      <c r="X24" s="25"/>
      <c r="Y24" s="25"/>
      <c r="Z24" s="25"/>
      <c r="AA24" s="64" t="s">
        <v>298</v>
      </c>
      <c r="AB24" s="65" t="s">
        <v>382</v>
      </c>
      <c r="AC24" s="64" t="s">
        <v>383</v>
      </c>
      <c r="AD24" s="65" t="s">
        <v>384</v>
      </c>
      <c r="AE24" s="64" t="s">
        <v>302</v>
      </c>
      <c r="AF24" s="64" t="s">
        <v>303</v>
      </c>
      <c r="AG24" s="64" t="s">
        <v>304</v>
      </c>
      <c r="AH24" s="64" t="s">
        <v>385</v>
      </c>
      <c r="AI24" s="58" t="s">
        <v>354</v>
      </c>
    </row>
    <row r="25" spans="1:36" ht="240" x14ac:dyDescent="0.25">
      <c r="A25" s="65" t="s">
        <v>174</v>
      </c>
      <c r="B25" s="33" t="s">
        <v>325</v>
      </c>
      <c r="C25" s="25" t="s">
        <v>280</v>
      </c>
      <c r="D25" s="34" t="s">
        <v>380</v>
      </c>
      <c r="E25" s="65"/>
      <c r="F25" s="32" t="s">
        <v>177</v>
      </c>
      <c r="G25" s="65"/>
      <c r="H25" s="25" t="s">
        <v>327</v>
      </c>
      <c r="I25" s="65" t="s">
        <v>328</v>
      </c>
      <c r="J25" s="65" t="s">
        <v>329</v>
      </c>
      <c r="K25" s="65" t="s">
        <v>330</v>
      </c>
      <c r="L25" s="65" t="s">
        <v>331</v>
      </c>
      <c r="M25" s="65" t="s">
        <v>332</v>
      </c>
      <c r="N25" s="65" t="s">
        <v>333</v>
      </c>
      <c r="O25" s="65" t="s">
        <v>334</v>
      </c>
      <c r="P25" s="65" t="s">
        <v>335</v>
      </c>
      <c r="Q25" s="65" t="s">
        <v>356</v>
      </c>
      <c r="R25" s="65" t="s">
        <v>334</v>
      </c>
      <c r="S25" s="65" t="s">
        <v>336</v>
      </c>
      <c r="T25" s="65" t="s">
        <v>337</v>
      </c>
      <c r="U25" s="65" t="s">
        <v>337</v>
      </c>
      <c r="V25" s="65" t="s">
        <v>337</v>
      </c>
      <c r="W25" s="65" t="s">
        <v>337</v>
      </c>
      <c r="X25" s="65" t="s">
        <v>337</v>
      </c>
      <c r="Y25" s="65" t="s">
        <v>337</v>
      </c>
      <c r="Z25" s="65" t="s">
        <v>338</v>
      </c>
      <c r="AA25" s="65" t="s">
        <v>339</v>
      </c>
      <c r="AB25" s="65" t="s">
        <v>340</v>
      </c>
      <c r="AC25" s="65" t="s">
        <v>341</v>
      </c>
      <c r="AD25" s="65" t="s">
        <v>342</v>
      </c>
      <c r="AE25" s="65" t="s">
        <v>343</v>
      </c>
      <c r="AF25" s="65" t="s">
        <v>344</v>
      </c>
      <c r="AG25" s="65" t="s">
        <v>345</v>
      </c>
      <c r="AH25" s="65" t="s">
        <v>346</v>
      </c>
      <c r="AI25" s="58" t="s">
        <v>355</v>
      </c>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FE26"/>
  <sheetViews>
    <sheetView zoomScaleNormal="100" workbookViewId="0">
      <pane xSplit="12" ySplit="5" topLeftCell="M6" activePane="bottomRight" state="frozen"/>
      <selection pane="topRight" activeCell="M1" sqref="M1"/>
      <selection pane="bottomLeft" activeCell="A6" sqref="A6"/>
      <selection pane="bottomRight" activeCell="J24" sqref="J24"/>
    </sheetView>
  </sheetViews>
  <sheetFormatPr defaultColWidth="9.140625" defaultRowHeight="15" outlineLevelCol="2" x14ac:dyDescent="0.25"/>
  <cols>
    <col min="1" max="1" width="2.85546875" style="1" customWidth="1"/>
    <col min="2" max="2" width="27.42578125" style="1" customWidth="1"/>
    <col min="3" max="3" width="2.85546875" style="1" customWidth="1"/>
    <col min="4" max="4" width="23.28515625" style="1" hidden="1" customWidth="1" outlineLevel="1"/>
    <col min="5" max="5" width="22.7109375" style="2" hidden="1" customWidth="1" outlineLevel="1"/>
    <col min="6" max="6" width="23.28515625" style="2" hidden="1" customWidth="1" outlineLevel="1"/>
    <col min="7" max="7" width="23.85546875" style="1" hidden="1" customWidth="1" outlineLevel="1"/>
    <col min="8" max="8" width="28.140625" style="2" hidden="1" customWidth="1" outlineLevel="1"/>
    <col min="9" max="9" width="13.42578125" style="1" hidden="1" customWidth="1" outlineLevel="1" collapsed="1"/>
    <col min="10" max="10" width="19.140625" style="1" customWidth="1" collapsed="1"/>
    <col min="11" max="11" width="25.85546875" style="1" customWidth="1"/>
    <col min="12" max="12" width="44.7109375" style="1" customWidth="1"/>
    <col min="13" max="13" width="21.28515625" style="1" customWidth="1"/>
    <col min="14" max="14" width="17.85546875" style="1" customWidth="1"/>
    <col min="15" max="15" width="31.140625" style="1" customWidth="1"/>
    <col min="16" max="16" width="31.140625" style="1" hidden="1" customWidth="1" outlineLevel="1"/>
    <col min="17" max="17" width="35.28515625" style="1" hidden="1" customWidth="1" outlineLevel="2"/>
    <col min="18" max="18" width="40.5703125" style="1" hidden="1" customWidth="1" outlineLevel="2" collapsed="1"/>
    <col min="19" max="19" width="34.28515625" style="1" customWidth="1" collapsed="1"/>
    <col min="20" max="20" width="32" style="1" customWidth="1"/>
    <col min="21" max="21" width="32.28515625" style="1" bestFit="1" customWidth="1"/>
    <col min="22" max="22" width="25.28515625" style="1" bestFit="1" customWidth="1"/>
    <col min="23" max="23" width="29.85546875" style="1" customWidth="1"/>
    <col min="24" max="26" width="29.85546875" style="1" hidden="1" customWidth="1" outlineLevel="1"/>
    <col min="27" max="27" width="31.5703125" style="1" customWidth="1" collapsed="1"/>
    <col min="28" max="28" width="34" style="1" customWidth="1"/>
    <col min="29" max="29" width="32.85546875" style="1" customWidth="1"/>
    <col min="30" max="30" width="31.140625" style="1" hidden="1" customWidth="1" outlineLevel="1"/>
    <col min="31" max="31" width="35.28515625" style="1" hidden="1" customWidth="1" outlineLevel="1"/>
    <col min="32" max="32" width="20" style="1" hidden="1" customWidth="1" outlineLevel="1"/>
    <col min="33" max="33" width="20.140625" style="1" customWidth="1" collapsed="1"/>
    <col min="34" max="34" width="20.5703125" style="1" customWidth="1"/>
    <col min="35" max="35" width="20.7109375" style="1" customWidth="1"/>
    <col min="36" max="36" width="19.28515625" style="1" customWidth="1"/>
    <col min="37" max="37" width="28.7109375" style="1" customWidth="1"/>
    <col min="38" max="38" width="31.140625" style="1" hidden="1" customWidth="1" outlineLevel="1"/>
    <col min="39" max="39" width="35.28515625" style="1" hidden="1" customWidth="1" outlineLevel="1"/>
    <col min="40" max="40" width="24.85546875" style="1" hidden="1" customWidth="1" outlineLevel="1"/>
    <col min="41" max="41" width="24" style="1" bestFit="1" customWidth="1" collapsed="1"/>
    <col min="42" max="42" width="32.7109375" style="1" hidden="1" customWidth="1" outlineLevel="1"/>
    <col min="43" max="43" width="36.7109375" style="1" hidden="1" customWidth="1" outlineLevel="1"/>
    <col min="44" max="44" width="35.140625" style="1" hidden="1" customWidth="1" outlineLevel="1"/>
    <col min="45" max="45" width="35.42578125" style="1" customWidth="1" collapsed="1"/>
    <col min="46" max="46" width="36.7109375" style="1" customWidth="1"/>
    <col min="47" max="47" width="34.28515625" style="1" customWidth="1"/>
    <col min="48" max="49" width="41.7109375" style="1" customWidth="1"/>
    <col min="50" max="50" width="34.5703125" style="1" customWidth="1"/>
    <col min="51" max="51" width="34" style="1" customWidth="1"/>
    <col min="52" max="53" width="35.7109375" style="1" customWidth="1"/>
    <col min="54" max="54" width="35.140625" style="1" customWidth="1"/>
    <col min="55" max="56" width="34.5703125" style="1" customWidth="1"/>
    <col min="57" max="57" width="34" style="1" customWidth="1"/>
    <col min="58" max="58" width="42.28515625" style="1" bestFit="1" customWidth="1"/>
    <col min="59" max="59" width="42.28515625" style="1" customWidth="1"/>
    <col min="60" max="60" width="35.140625" style="1" customWidth="1"/>
    <col min="61" max="61" width="34.5703125" style="1" customWidth="1"/>
    <col min="62" max="63" width="30.28515625" style="1" customWidth="1"/>
    <col min="64" max="64" width="36.7109375" style="1" hidden="1" customWidth="1" outlineLevel="1"/>
    <col min="65" max="65" width="32.7109375" style="1" hidden="1" customWidth="1" outlineLevel="1"/>
    <col min="66" max="66" width="33.28515625" style="1" customWidth="1" collapsed="1"/>
    <col min="67" max="67" width="32.140625" style="1" customWidth="1"/>
    <col min="68" max="69" width="31.7109375" style="1" customWidth="1"/>
    <col min="70" max="70" width="32.5703125" style="1" customWidth="1"/>
    <col min="71" max="71" width="31.28515625" style="1" customWidth="1"/>
    <col min="72" max="73" width="34.28515625" style="1" customWidth="1"/>
    <col min="74" max="74" width="35" style="1" customWidth="1"/>
    <col min="75" max="75" width="33.7109375" style="1" customWidth="1"/>
    <col min="76" max="77" width="40.7109375" style="1" customWidth="1"/>
    <col min="78" max="78" width="41.42578125" style="1" customWidth="1"/>
    <col min="79" max="79" width="40.140625" style="1" customWidth="1"/>
    <col min="80" max="81" width="42.85546875" style="1" customWidth="1"/>
    <col min="82" max="82" width="43.7109375" style="1" customWidth="1"/>
    <col min="83" max="83" width="42.28515625" style="1" customWidth="1"/>
    <col min="84" max="85" width="41.7109375" style="1" customWidth="1"/>
    <col min="86" max="86" width="42.5703125" style="1" customWidth="1"/>
    <col min="87" max="87" width="41.28515625" style="1" customWidth="1"/>
    <col min="88" max="89" width="35.85546875" style="1" customWidth="1"/>
    <col min="90" max="90" width="34.28515625" style="1" customWidth="1"/>
    <col min="91" max="91" width="34.85546875" style="1" customWidth="1"/>
    <col min="92" max="92" width="33.7109375" style="1" customWidth="1"/>
    <col min="93" max="94" width="30.28515625" style="1" customWidth="1"/>
    <col min="95" max="95" width="36.7109375" style="1" hidden="1" customWidth="1" outlineLevel="1"/>
    <col min="96" max="96" width="33.7109375" style="1" hidden="1" customWidth="1" outlineLevel="1"/>
    <col min="97" max="97" width="44.28515625" style="1" customWidth="1" collapsed="1"/>
    <col min="98" max="98" width="34.28515625" style="1" customWidth="1"/>
    <col min="99" max="99" width="33.28515625" style="1" customWidth="1"/>
    <col min="100" max="100" width="39.7109375" style="1" bestFit="1" customWidth="1"/>
    <col min="101" max="102" width="44.28515625" style="1" customWidth="1"/>
    <col min="103" max="103" width="44.7109375" style="1" bestFit="1" customWidth="1"/>
    <col min="104" max="104" width="41.42578125" style="1" bestFit="1" customWidth="1"/>
    <col min="105" max="105" width="44.7109375" style="1" bestFit="1" customWidth="1"/>
    <col min="106" max="106" width="36.7109375" style="1" hidden="1" customWidth="1" outlineLevel="1"/>
    <col min="107" max="107" width="32.5703125" style="1" hidden="1" customWidth="1" outlineLevel="1"/>
    <col min="108" max="108" width="39.28515625" style="1" customWidth="1" collapsed="1"/>
    <col min="109" max="109" width="34.28515625" style="1" customWidth="1"/>
    <col min="110" max="110" width="30.28515625" style="1" customWidth="1"/>
    <col min="111" max="111" width="32.7109375" style="1" hidden="1" customWidth="1" outlineLevel="1"/>
    <col min="112" max="112" width="36.7109375" style="1" hidden="1" customWidth="1" outlineLevel="1"/>
    <col min="113" max="113" width="48.140625" style="1" hidden="1" customWidth="1" outlineLevel="1"/>
    <col min="114" max="114" width="27" style="1" customWidth="1" collapsed="1"/>
    <col min="115" max="115" width="39.28515625" style="1" customWidth="1"/>
    <col min="116" max="116" width="31.7109375" style="1" customWidth="1"/>
    <col min="117" max="117" width="26.28515625" style="1" customWidth="1"/>
    <col min="118" max="118" width="24.28515625" style="1" bestFit="1" customWidth="1"/>
    <col min="119" max="119" width="21.140625" style="1" customWidth="1"/>
    <col min="120" max="120" width="28.7109375" style="1" customWidth="1"/>
    <col min="121" max="121" width="31.140625" style="1" hidden="1" customWidth="1" outlineLevel="1"/>
    <col min="122" max="122" width="35.28515625" style="1" hidden="1" customWidth="1" outlineLevel="1"/>
    <col min="123" max="123" width="34.28515625" style="1" hidden="1" customWidth="1" outlineLevel="1"/>
    <col min="124" max="124" width="28.7109375" style="1" customWidth="1" collapsed="1"/>
    <col min="125" max="125" width="31.140625" style="1" hidden="1" customWidth="1" outlineLevel="1"/>
    <col min="126" max="126" width="35.28515625" style="1" hidden="1" customWidth="1" outlineLevel="1"/>
    <col min="127" max="127" width="25.5703125" style="1" hidden="1" customWidth="1" outlineLevel="1" collapsed="1"/>
    <col min="128" max="128" width="28.7109375" style="1" customWidth="1" collapsed="1"/>
    <col min="129" max="129" width="29.5703125" style="1" hidden="1" customWidth="1" outlineLevel="1"/>
    <col min="130" max="130" width="32.140625" style="1" hidden="1" customWidth="1" outlineLevel="1"/>
    <col min="131" max="131" width="36.28515625" style="1" hidden="1" customWidth="1" outlineLevel="1" collapsed="1"/>
    <col min="132" max="132" width="22.85546875" style="1" hidden="1" customWidth="1" outlineLevel="1" collapsed="1"/>
    <col min="133" max="133" width="15.42578125" style="1" hidden="1" customWidth="1" outlineLevel="1"/>
    <col min="134" max="134" width="13.7109375" style="1" hidden="1" customWidth="1" outlineLevel="1"/>
    <col min="135" max="135" width="23.28515625" style="1" hidden="1" customWidth="1" outlineLevel="1"/>
    <col min="136" max="136" width="22.28515625" style="1" hidden="1" customWidth="1" outlineLevel="1"/>
    <col min="137" max="137" width="23" style="1" hidden="1" customWidth="1" outlineLevel="1"/>
    <col min="138" max="138" width="22.7109375" style="1" hidden="1" customWidth="1" outlineLevel="1"/>
    <col min="139" max="139" width="23.85546875" style="1" hidden="1" customWidth="1" outlineLevel="1"/>
    <col min="140" max="140" width="22.7109375" style="1" hidden="1" customWidth="1" outlineLevel="1"/>
    <col min="141" max="141" width="24.140625" style="1" hidden="1" customWidth="1" outlineLevel="1"/>
    <col min="142" max="142" width="20.28515625" style="1" hidden="1" customWidth="1" outlineLevel="1"/>
    <col min="143" max="143" width="19.5703125" style="1" hidden="1" customWidth="1" outlineLevel="1"/>
    <col min="144" max="144" width="22" style="1" hidden="1" customWidth="1" outlineLevel="1"/>
    <col min="145" max="145" width="28.42578125" style="1" hidden="1" customWidth="1" outlineLevel="1"/>
    <col min="146" max="146" width="30.42578125" style="1" hidden="1" customWidth="1" outlineLevel="1"/>
    <col min="147" max="147" width="29.5703125" style="1" hidden="1" customWidth="1" outlineLevel="1"/>
    <col min="148" max="148" width="22.28515625" style="1" hidden="1" customWidth="1" outlineLevel="1"/>
    <col min="149" max="149" width="23" style="1" hidden="1" customWidth="1" outlineLevel="1"/>
    <col min="150" max="150" width="22.5703125" style="1" hidden="1" customWidth="1" outlineLevel="1"/>
    <col min="151" max="151" width="28.28515625" style="1" hidden="1" customWidth="1" outlineLevel="1"/>
    <col min="152" max="160" width="21.28515625" style="1" hidden="1" customWidth="1" outlineLevel="1"/>
    <col min="161" max="161" width="9.140625" style="1" collapsed="1"/>
    <col min="162" max="16384" width="9.140625" style="1"/>
  </cols>
  <sheetData>
    <row r="2" spans="1:160" x14ac:dyDescent="0.25">
      <c r="CS2" s="1">
        <v>1</v>
      </c>
      <c r="CT2" s="1">
        <v>2</v>
      </c>
      <c r="CU2" s="1">
        <v>3</v>
      </c>
      <c r="CV2" s="1">
        <v>4</v>
      </c>
      <c r="CW2" s="1">
        <v>5</v>
      </c>
      <c r="CX2" s="1">
        <v>6</v>
      </c>
      <c r="CY2" s="1">
        <v>7</v>
      </c>
      <c r="CZ2" s="1">
        <v>8</v>
      </c>
    </row>
    <row r="3" spans="1:160" x14ac:dyDescent="0.25">
      <c r="E3" s="1"/>
      <c r="F3" s="1"/>
      <c r="H3" s="1"/>
    </row>
    <row r="4" spans="1:160" x14ac:dyDescent="0.25">
      <c r="A4" s="66" t="s">
        <v>359</v>
      </c>
      <c r="B4" s="66"/>
      <c r="D4" s="70" t="s">
        <v>0</v>
      </c>
      <c r="E4" s="70"/>
      <c r="F4" s="71" t="s">
        <v>1</v>
      </c>
      <c r="G4" s="71"/>
      <c r="H4" s="69" t="s">
        <v>2</v>
      </c>
      <c r="I4" s="69"/>
      <c r="J4" s="3" t="s">
        <v>261</v>
      </c>
      <c r="K4" s="72" t="s">
        <v>3</v>
      </c>
      <c r="L4" s="72"/>
      <c r="M4" s="72"/>
      <c r="N4" s="72"/>
      <c r="O4" s="72"/>
      <c r="P4" s="42"/>
      <c r="Q4" s="69" t="s">
        <v>4</v>
      </c>
      <c r="R4" s="69"/>
      <c r="S4" s="3"/>
      <c r="T4" s="3"/>
      <c r="U4" s="3"/>
      <c r="V4" s="3"/>
      <c r="W4" s="3"/>
      <c r="X4" s="3"/>
      <c r="Y4" s="69" t="s">
        <v>5</v>
      </c>
      <c r="Z4" s="69"/>
      <c r="AA4" s="3"/>
      <c r="AB4" s="3"/>
      <c r="AC4" s="3"/>
      <c r="AD4" s="3"/>
      <c r="AE4" s="69" t="s">
        <v>6</v>
      </c>
      <c r="AF4" s="69"/>
      <c r="AM4" s="69" t="s">
        <v>7</v>
      </c>
      <c r="AN4" s="69"/>
      <c r="AQ4" s="69" t="s">
        <v>8</v>
      </c>
      <c r="AR4" s="69"/>
      <c r="BL4" s="69" t="s">
        <v>9</v>
      </c>
      <c r="BM4" s="69"/>
      <c r="CQ4" s="69" t="s">
        <v>10</v>
      </c>
      <c r="CR4" s="69"/>
      <c r="DB4" s="69" t="s">
        <v>11</v>
      </c>
      <c r="DC4" s="69"/>
      <c r="DH4" s="69" t="s">
        <v>12</v>
      </c>
      <c r="DI4" s="69"/>
      <c r="DR4" s="69" t="s">
        <v>13</v>
      </c>
      <c r="DS4" s="69"/>
      <c r="DV4" s="69" t="s">
        <v>14</v>
      </c>
      <c r="DW4" s="69"/>
      <c r="DZ4" s="69" t="s">
        <v>15</v>
      </c>
      <c r="EA4" s="69"/>
    </row>
    <row r="5" spans="1:160" x14ac:dyDescent="0.25">
      <c r="D5" s="10" t="s">
        <v>16</v>
      </c>
      <c r="E5" s="11" t="s">
        <v>17</v>
      </c>
      <c r="F5" s="12" t="s">
        <v>18</v>
      </c>
      <c r="G5" s="13" t="s">
        <v>19</v>
      </c>
      <c r="H5" s="14" t="s">
        <v>20</v>
      </c>
      <c r="I5" s="8" t="s">
        <v>21</v>
      </c>
      <c r="J5" s="4" t="s">
        <v>22</v>
      </c>
      <c r="K5" s="4" t="s">
        <v>23</v>
      </c>
      <c r="L5" s="4" t="s">
        <v>24</v>
      </c>
      <c r="M5" s="4" t="s">
        <v>25</v>
      </c>
      <c r="N5" s="4" t="s">
        <v>26</v>
      </c>
      <c r="O5" s="4" t="s">
        <v>27</v>
      </c>
      <c r="P5" s="7" t="s">
        <v>28</v>
      </c>
      <c r="Q5" s="8" t="s">
        <v>29</v>
      </c>
      <c r="R5" s="8" t="s">
        <v>30</v>
      </c>
      <c r="S5" s="4" t="s">
        <v>31</v>
      </c>
      <c r="T5" s="4" t="s">
        <v>32</v>
      </c>
      <c r="U5" s="4" t="s">
        <v>33</v>
      </c>
      <c r="V5" s="4" t="s">
        <v>34</v>
      </c>
      <c r="W5" s="4" t="s">
        <v>35</v>
      </c>
      <c r="X5" s="7" t="s">
        <v>36</v>
      </c>
      <c r="Y5" s="8" t="s">
        <v>37</v>
      </c>
      <c r="Z5" s="8" t="s">
        <v>38</v>
      </c>
      <c r="AA5" s="4" t="s">
        <v>39</v>
      </c>
      <c r="AB5" s="4" t="s">
        <v>40</v>
      </c>
      <c r="AC5" s="4" t="s">
        <v>41</v>
      </c>
      <c r="AD5" s="7" t="s">
        <v>42</v>
      </c>
      <c r="AE5" s="8" t="s">
        <v>43</v>
      </c>
      <c r="AF5" s="8" t="s">
        <v>44</v>
      </c>
      <c r="AG5" s="4" t="s">
        <v>45</v>
      </c>
      <c r="AH5" s="4" t="s">
        <v>46</v>
      </c>
      <c r="AI5" s="4" t="s">
        <v>47</v>
      </c>
      <c r="AJ5" s="4" t="s">
        <v>48</v>
      </c>
      <c r="AK5" s="4" t="s">
        <v>49</v>
      </c>
      <c r="AL5" s="7" t="s">
        <v>50</v>
      </c>
      <c r="AM5" s="8" t="s">
        <v>51</v>
      </c>
      <c r="AN5" s="8" t="s">
        <v>52</v>
      </c>
      <c r="AO5" s="4" t="s">
        <v>53</v>
      </c>
      <c r="AP5" s="7" t="s">
        <v>54</v>
      </c>
      <c r="AQ5" s="8" t="s">
        <v>55</v>
      </c>
      <c r="AR5" s="8" t="s">
        <v>56</v>
      </c>
      <c r="AS5" s="4" t="s">
        <v>57</v>
      </c>
      <c r="AT5" s="4" t="s">
        <v>58</v>
      </c>
      <c r="AU5" s="4" t="s">
        <v>59</v>
      </c>
      <c r="AV5" s="4" t="s">
        <v>60</v>
      </c>
      <c r="AW5" s="37" t="s">
        <v>61</v>
      </c>
      <c r="AX5" s="4" t="s">
        <v>62</v>
      </c>
      <c r="AY5" s="4" t="s">
        <v>63</v>
      </c>
      <c r="AZ5" s="4" t="s">
        <v>64</v>
      </c>
      <c r="BA5" s="37" t="s">
        <v>65</v>
      </c>
      <c r="BB5" s="4" t="s">
        <v>66</v>
      </c>
      <c r="BC5" s="4" t="s">
        <v>67</v>
      </c>
      <c r="BD5" s="37" t="s">
        <v>68</v>
      </c>
      <c r="BE5" s="4" t="s">
        <v>69</v>
      </c>
      <c r="BF5" s="4" t="s">
        <v>70</v>
      </c>
      <c r="BG5" s="37" t="s">
        <v>71</v>
      </c>
      <c r="BH5" s="4" t="s">
        <v>72</v>
      </c>
      <c r="BI5" s="4" t="s">
        <v>73</v>
      </c>
      <c r="BJ5" s="4" t="s">
        <v>74</v>
      </c>
      <c r="BK5" s="7" t="s">
        <v>75</v>
      </c>
      <c r="BL5" s="8" t="s">
        <v>76</v>
      </c>
      <c r="BM5" s="8" t="s">
        <v>77</v>
      </c>
      <c r="BN5" s="4" t="s">
        <v>78</v>
      </c>
      <c r="BO5" s="4" t="s">
        <v>79</v>
      </c>
      <c r="BP5" s="4" t="s">
        <v>80</v>
      </c>
      <c r="BQ5" s="37" t="s">
        <v>81</v>
      </c>
      <c r="BR5" s="4" t="s">
        <v>82</v>
      </c>
      <c r="BS5" s="4" t="s">
        <v>83</v>
      </c>
      <c r="BT5" s="4" t="s">
        <v>84</v>
      </c>
      <c r="BU5" s="37" t="s">
        <v>85</v>
      </c>
      <c r="BV5" s="4" t="s">
        <v>86</v>
      </c>
      <c r="BW5" s="4" t="s">
        <v>87</v>
      </c>
      <c r="BX5" s="4" t="s">
        <v>88</v>
      </c>
      <c r="BY5" s="37" t="s">
        <v>89</v>
      </c>
      <c r="BZ5" s="4" t="s">
        <v>90</v>
      </c>
      <c r="CA5" s="4" t="s">
        <v>91</v>
      </c>
      <c r="CB5" s="4" t="s">
        <v>92</v>
      </c>
      <c r="CC5" s="37" t="s">
        <v>93</v>
      </c>
      <c r="CD5" s="4" t="s">
        <v>94</v>
      </c>
      <c r="CE5" s="4" t="s">
        <v>95</v>
      </c>
      <c r="CF5" s="4" t="s">
        <v>96</v>
      </c>
      <c r="CG5" s="37" t="s">
        <v>97</v>
      </c>
      <c r="CH5" s="4" t="s">
        <v>98</v>
      </c>
      <c r="CI5" s="4" t="s">
        <v>99</v>
      </c>
      <c r="CJ5" s="4" t="s">
        <v>100</v>
      </c>
      <c r="CK5" s="37" t="s">
        <v>101</v>
      </c>
      <c r="CL5" s="4" t="s">
        <v>102</v>
      </c>
      <c r="CM5" s="4" t="s">
        <v>103</v>
      </c>
      <c r="CN5" s="4" t="s">
        <v>104</v>
      </c>
      <c r="CO5" s="4" t="s">
        <v>105</v>
      </c>
      <c r="CP5" s="37" t="s">
        <v>106</v>
      </c>
      <c r="CQ5" s="8" t="s">
        <v>107</v>
      </c>
      <c r="CR5" s="8" t="s">
        <v>108</v>
      </c>
      <c r="CS5" s="4" t="s">
        <v>109</v>
      </c>
      <c r="CT5" s="4" t="s">
        <v>110</v>
      </c>
      <c r="CU5" s="4" t="s">
        <v>111</v>
      </c>
      <c r="CV5" s="37" t="s">
        <v>112</v>
      </c>
      <c r="CW5" s="4" t="s">
        <v>113</v>
      </c>
      <c r="CX5" s="37" t="s">
        <v>114</v>
      </c>
      <c r="CY5" s="4" t="s">
        <v>115</v>
      </c>
      <c r="CZ5" s="4" t="s">
        <v>116</v>
      </c>
      <c r="DA5" s="37" t="s">
        <v>117</v>
      </c>
      <c r="DB5" s="8" t="s">
        <v>118</v>
      </c>
      <c r="DC5" s="8" t="s">
        <v>119</v>
      </c>
      <c r="DD5" s="4" t="s">
        <v>120</v>
      </c>
      <c r="DE5" s="4" t="s">
        <v>121</v>
      </c>
      <c r="DF5" s="4" t="s">
        <v>122</v>
      </c>
      <c r="DG5" s="7" t="s">
        <v>123</v>
      </c>
      <c r="DH5" s="8" t="s">
        <v>124</v>
      </c>
      <c r="DI5" s="8" t="s">
        <v>125</v>
      </c>
      <c r="DJ5" s="4" t="s">
        <v>126</v>
      </c>
      <c r="DK5" s="4" t="s">
        <v>127</v>
      </c>
      <c r="DL5" s="4" t="s">
        <v>128</v>
      </c>
      <c r="DM5" s="4" t="s">
        <v>129</v>
      </c>
      <c r="DN5" s="4" t="s">
        <v>130</v>
      </c>
      <c r="DO5" s="4" t="s">
        <v>131</v>
      </c>
      <c r="DP5" s="4" t="s">
        <v>132</v>
      </c>
      <c r="DQ5" s="7" t="s">
        <v>133</v>
      </c>
      <c r="DR5" s="8" t="s">
        <v>134</v>
      </c>
      <c r="DS5" s="8" t="s">
        <v>135</v>
      </c>
      <c r="DT5" s="4" t="s">
        <v>136</v>
      </c>
      <c r="DU5" s="7" t="s">
        <v>137</v>
      </c>
      <c r="DV5" s="8" t="s">
        <v>138</v>
      </c>
      <c r="DW5" s="8" t="s">
        <v>139</v>
      </c>
      <c r="DX5" s="4" t="s">
        <v>140</v>
      </c>
      <c r="DY5" s="7" t="s">
        <v>141</v>
      </c>
      <c r="DZ5" s="8" t="s">
        <v>142</v>
      </c>
      <c r="EA5" s="8" t="s">
        <v>143</v>
      </c>
      <c r="EB5" s="8" t="s">
        <v>144</v>
      </c>
      <c r="EC5" s="8" t="s">
        <v>145</v>
      </c>
      <c r="ED5" s="8" t="s">
        <v>146</v>
      </c>
      <c r="EE5" s="8" t="s">
        <v>147</v>
      </c>
      <c r="EF5" s="8" t="s">
        <v>148</v>
      </c>
      <c r="EG5" s="8" t="s">
        <v>149</v>
      </c>
      <c r="EH5" s="8" t="s">
        <v>150</v>
      </c>
      <c r="EI5" s="8" t="s">
        <v>151</v>
      </c>
      <c r="EJ5" s="8" t="s">
        <v>152</v>
      </c>
      <c r="EK5" s="8" t="s">
        <v>153</v>
      </c>
      <c r="EL5" s="8" t="s">
        <v>154</v>
      </c>
      <c r="EM5" s="8" t="s">
        <v>155</v>
      </c>
      <c r="EN5" s="8" t="s">
        <v>156</v>
      </c>
      <c r="EO5" s="8" t="s">
        <v>157</v>
      </c>
      <c r="EP5" s="8" t="s">
        <v>158</v>
      </c>
      <c r="EQ5" s="8" t="s">
        <v>159</v>
      </c>
      <c r="ER5" s="8" t="s">
        <v>160</v>
      </c>
      <c r="ES5" s="8" t="s">
        <v>161</v>
      </c>
      <c r="ET5" s="8" t="s">
        <v>162</v>
      </c>
      <c r="EU5" s="8" t="s">
        <v>163</v>
      </c>
      <c r="EV5" s="8" t="s">
        <v>164</v>
      </c>
      <c r="EW5" s="8" t="s">
        <v>165</v>
      </c>
      <c r="EX5" s="8" t="s">
        <v>166</v>
      </c>
      <c r="EY5" s="8" t="s">
        <v>167</v>
      </c>
      <c r="EZ5" s="8" t="s">
        <v>168</v>
      </c>
      <c r="FA5" s="8" t="s">
        <v>169</v>
      </c>
      <c r="FB5" s="8" t="s">
        <v>170</v>
      </c>
      <c r="FC5" s="8" t="s">
        <v>171</v>
      </c>
      <c r="FD5" s="8" t="s">
        <v>172</v>
      </c>
    </row>
    <row r="6" spans="1:160" x14ac:dyDescent="0.25">
      <c r="D6" s="5">
        <v>44452.372048611112</v>
      </c>
      <c r="E6" s="6" t="s">
        <v>173</v>
      </c>
      <c r="F6" s="5"/>
      <c r="G6" s="6"/>
      <c r="H6" s="5">
        <v>44479.031909722224</v>
      </c>
      <c r="I6" s="6" t="s">
        <v>173</v>
      </c>
      <c r="J6" s="4" t="s">
        <v>174</v>
      </c>
      <c r="K6" s="4" t="s">
        <v>175</v>
      </c>
      <c r="L6" s="4" t="s">
        <v>176</v>
      </c>
      <c r="M6" s="4" t="s">
        <v>177</v>
      </c>
      <c r="N6" s="4" t="s">
        <v>178</v>
      </c>
      <c r="O6" s="4" t="s">
        <v>179</v>
      </c>
      <c r="P6" s="7" t="s">
        <v>180</v>
      </c>
      <c r="Q6" s="5">
        <v>44478.236944444441</v>
      </c>
      <c r="R6" s="6" t="s">
        <v>173</v>
      </c>
      <c r="S6" s="4"/>
      <c r="T6" s="4"/>
      <c r="U6" s="4"/>
      <c r="V6" s="4"/>
      <c r="W6" s="4"/>
      <c r="X6" s="4"/>
      <c r="Y6" s="4"/>
      <c r="Z6" s="4"/>
      <c r="AA6" s="4"/>
      <c r="AB6" s="4"/>
      <c r="AC6" s="4"/>
      <c r="AD6" s="6"/>
      <c r="AE6" s="5"/>
      <c r="AF6" s="6"/>
      <c r="AG6" s="4"/>
      <c r="AH6" s="4"/>
      <c r="AI6" s="4"/>
      <c r="AJ6" s="4"/>
      <c r="AK6" s="4"/>
      <c r="AL6" s="6"/>
      <c r="AM6" s="5"/>
      <c r="AN6" s="6"/>
      <c r="AO6" s="4"/>
      <c r="AP6" s="6"/>
      <c r="AQ6" s="5"/>
      <c r="AR6" s="6"/>
      <c r="AS6" s="4"/>
      <c r="AT6" s="4"/>
      <c r="AU6" s="4"/>
      <c r="AV6" s="4"/>
      <c r="AW6" s="4"/>
      <c r="AX6" s="4"/>
      <c r="AY6" s="4"/>
      <c r="AZ6" s="4"/>
      <c r="BA6" s="4"/>
      <c r="BB6" s="4"/>
      <c r="BC6" s="4"/>
      <c r="BD6" s="4"/>
      <c r="BE6" s="4"/>
      <c r="BF6" s="4"/>
      <c r="BG6" s="4"/>
      <c r="BH6" s="4"/>
      <c r="BI6" s="4"/>
      <c r="BJ6" s="4"/>
      <c r="BK6" s="4"/>
      <c r="BL6" s="5"/>
      <c r="BM6" s="6"/>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5"/>
      <c r="CR6" s="6"/>
      <c r="CS6" s="4"/>
      <c r="CT6" s="4"/>
      <c r="CU6" s="4"/>
      <c r="CV6" s="4"/>
      <c r="CW6" s="4"/>
      <c r="CX6" s="4"/>
      <c r="CY6" s="4"/>
      <c r="CZ6" s="4"/>
      <c r="DA6" s="4"/>
      <c r="DB6" s="5"/>
      <c r="DC6" s="6"/>
      <c r="DD6" s="4"/>
      <c r="DE6" s="4"/>
      <c r="DF6" s="4"/>
      <c r="DG6" s="6"/>
      <c r="DH6" s="5"/>
      <c r="DI6" s="6"/>
      <c r="DJ6" s="4"/>
      <c r="DK6" s="4"/>
      <c r="DL6" s="4"/>
      <c r="DM6" s="4"/>
      <c r="DN6" s="4"/>
      <c r="DO6" s="4"/>
      <c r="DP6" s="4"/>
      <c r="DQ6" s="6"/>
      <c r="DR6" s="5"/>
      <c r="DS6" s="6"/>
      <c r="DT6" s="4"/>
      <c r="DU6" s="6"/>
      <c r="DV6" s="5"/>
      <c r="DW6" s="6"/>
      <c r="DX6" s="4"/>
      <c r="DY6" s="6"/>
      <c r="DZ6" s="5"/>
      <c r="EA6" s="6"/>
      <c r="EB6" s="6" t="b">
        <v>1</v>
      </c>
      <c r="EC6" s="6"/>
      <c r="ED6" s="6"/>
      <c r="EE6" s="6"/>
      <c r="EF6" s="6"/>
      <c r="EG6" s="6"/>
      <c r="EH6" s="6"/>
      <c r="EI6" s="6"/>
      <c r="EJ6" s="6"/>
      <c r="EK6" s="6"/>
      <c r="EL6" s="6"/>
      <c r="EM6" s="6"/>
      <c r="EN6" s="6"/>
      <c r="EO6" s="6"/>
      <c r="EP6" s="6"/>
      <c r="EQ6" s="6"/>
      <c r="ER6" s="6"/>
      <c r="ES6" s="6"/>
      <c r="ET6" s="6"/>
      <c r="EU6" s="6"/>
      <c r="EV6" s="6"/>
      <c r="EW6" s="6"/>
      <c r="EX6" s="6"/>
      <c r="EY6" s="6"/>
      <c r="EZ6" s="15" t="str">
        <f>IF(COUNTA(Register[[#This Row],[Ethics - CAHS Complete]:[Ethics - Others Complete]])=0, "",IF(COUNTIF(Register[[#This Row],[Ethics - CAHS Complete]:[Ethics - Others Complete]],TRUE)&gt;0,TRUE,FALSE))</f>
        <v/>
      </c>
      <c r="FA6" s="6" t="str">
        <f>IF(COUNTA(Register[[#This Row],[Gov - PCH Complete]:[Gov - Others Complete]])=0,"",IF(COUNTIF(Register[[#This Row],[Gov - PCH Complete]:[Gov - Others Complete]],TRUE)&gt;0,TRUE,FALSE))</f>
        <v/>
      </c>
      <c r="FB6" s="6" t="str">
        <f>IF(COUNTA(Register[[#This Row],[Budget - VTG Complete]:[Budget - Pharmacy Complete]])=0,"",IF(COUNTIF(Register[[#This Row],[Budget - VTG Complete]:[Budget - Pharmacy Complete]],TRUE)=3,TRUE,FALSE))</f>
        <v/>
      </c>
      <c r="FC6"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6" s="15">
        <f t="array" ref="FD6">IFERROR(MATCH(FALSE,Register[[#This Row],[Study Details Complete]:[SIV Complete]],0),IFERROR(MATCH(TRUE,ISBLANK(Register[[#This Row],[Study Details Complete]:[SIV Complete]]),0),1))</f>
        <v>2</v>
      </c>
    </row>
    <row r="7" spans="1:160" x14ac:dyDescent="0.25">
      <c r="D7" s="5">
        <v>44452.374467592592</v>
      </c>
      <c r="E7" s="6" t="s">
        <v>173</v>
      </c>
      <c r="F7" s="5"/>
      <c r="G7" s="6"/>
      <c r="H7" s="5">
        <v>44479.492777777778</v>
      </c>
      <c r="I7" s="6" t="s">
        <v>173</v>
      </c>
      <c r="J7" s="4" t="s">
        <v>174</v>
      </c>
      <c r="K7" s="4" t="s">
        <v>181</v>
      </c>
      <c r="L7" s="4" t="s">
        <v>182</v>
      </c>
      <c r="M7" s="4" t="s">
        <v>183</v>
      </c>
      <c r="N7" s="4" t="s">
        <v>184</v>
      </c>
      <c r="O7" s="4"/>
      <c r="P7" s="7" t="s">
        <v>185</v>
      </c>
      <c r="Q7" s="5">
        <v>44468.902939814812</v>
      </c>
      <c r="R7" s="6" t="s">
        <v>173</v>
      </c>
      <c r="S7" s="4"/>
      <c r="T7" s="4"/>
      <c r="U7" s="4"/>
      <c r="V7" s="4"/>
      <c r="W7" s="4"/>
      <c r="X7" s="4"/>
      <c r="Y7" s="4"/>
      <c r="Z7" s="4"/>
      <c r="AA7" s="4"/>
      <c r="AB7" s="4"/>
      <c r="AC7" s="4"/>
      <c r="AD7" s="6"/>
      <c r="AE7" s="5"/>
      <c r="AF7" s="6"/>
      <c r="AG7" s="4"/>
      <c r="AH7" s="4"/>
      <c r="AI7" s="4"/>
      <c r="AJ7" s="4"/>
      <c r="AK7" s="4"/>
      <c r="AL7" s="6"/>
      <c r="AM7" s="5"/>
      <c r="AN7" s="6"/>
      <c r="AO7" s="4"/>
      <c r="AP7" s="6"/>
      <c r="AQ7" s="5"/>
      <c r="AR7" s="6"/>
      <c r="AS7" s="4"/>
      <c r="AT7" s="4"/>
      <c r="AU7" s="4"/>
      <c r="AV7" s="4"/>
      <c r="AW7" s="4"/>
      <c r="AX7" s="4"/>
      <c r="AY7" s="4"/>
      <c r="AZ7" s="4"/>
      <c r="BA7" s="4"/>
      <c r="BB7" s="4"/>
      <c r="BC7" s="4"/>
      <c r="BD7" s="4"/>
      <c r="BE7" s="4"/>
      <c r="BF7" s="4"/>
      <c r="BG7" s="4"/>
      <c r="BH7" s="4"/>
      <c r="BI7" s="4"/>
      <c r="BJ7" s="4"/>
      <c r="BK7" s="4"/>
      <c r="BL7" s="5"/>
      <c r="BM7" s="6"/>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5"/>
      <c r="CR7" s="6"/>
      <c r="CS7" s="4"/>
      <c r="CT7" s="4"/>
      <c r="CU7" s="4"/>
      <c r="CV7" s="4"/>
      <c r="CW7" s="4"/>
      <c r="CX7" s="4"/>
      <c r="CY7" s="4"/>
      <c r="CZ7" s="4"/>
      <c r="DA7" s="4"/>
      <c r="DB7" s="5"/>
      <c r="DC7" s="6"/>
      <c r="DD7" s="4"/>
      <c r="DE7" s="4"/>
      <c r="DF7" s="4"/>
      <c r="DG7" s="6"/>
      <c r="DH7" s="5"/>
      <c r="DI7" s="6"/>
      <c r="DJ7" s="4"/>
      <c r="DK7" s="4"/>
      <c r="DL7" s="4"/>
      <c r="DM7" s="4"/>
      <c r="DN7" s="4"/>
      <c r="DO7" s="4"/>
      <c r="DP7" s="4"/>
      <c r="DQ7" s="6"/>
      <c r="DR7" s="5"/>
      <c r="DS7" s="6"/>
      <c r="DT7" s="4"/>
      <c r="DU7" s="6"/>
      <c r="DV7" s="5"/>
      <c r="DW7" s="6"/>
      <c r="DX7" s="4"/>
      <c r="DY7" s="6"/>
      <c r="DZ7" s="5"/>
      <c r="EA7" s="6"/>
      <c r="EB7" s="6" t="b">
        <v>0</v>
      </c>
      <c r="EC7" s="6"/>
      <c r="ED7" s="6"/>
      <c r="EE7" s="6"/>
      <c r="EF7" s="6"/>
      <c r="EG7" s="6"/>
      <c r="EH7" s="6"/>
      <c r="EI7" s="6"/>
      <c r="EJ7" s="6"/>
      <c r="EK7" s="6"/>
      <c r="EL7" s="6"/>
      <c r="EM7" s="6"/>
      <c r="EN7" s="6"/>
      <c r="EO7" s="6"/>
      <c r="EP7" s="6"/>
      <c r="EQ7" s="6"/>
      <c r="ER7" s="6"/>
      <c r="ES7" s="6"/>
      <c r="ET7" s="6"/>
      <c r="EU7" s="6"/>
      <c r="EV7" s="6"/>
      <c r="EW7" s="6"/>
      <c r="EX7" s="6"/>
      <c r="EY7" s="6"/>
      <c r="EZ7" s="15" t="str">
        <f>IF(COUNTA(Register[[#This Row],[Ethics - CAHS Complete]:[Ethics - Others Complete]])=0, "",IF(COUNTIF(Register[[#This Row],[Ethics - CAHS Complete]:[Ethics - Others Complete]],TRUE)&gt;0,TRUE,FALSE))</f>
        <v/>
      </c>
      <c r="FA7" s="6" t="str">
        <f>IF(COUNTA(Register[[#This Row],[Gov - PCH Complete]:[Gov - Others Complete]])=0,"",IF(COUNTIF(Register[[#This Row],[Gov - PCH Complete]:[Gov - Others Complete]],TRUE)&gt;0,TRUE,FALSE))</f>
        <v/>
      </c>
      <c r="FB7" s="6" t="str">
        <f>IF(COUNTA(Register[[#This Row],[Budget - VTG Complete]:[Budget - Pharmacy Complete]])=0,"",IF(COUNTIF(Register[[#This Row],[Budget - VTG Complete]:[Budget - Pharmacy Complete]],TRUE)=3,TRUE,FALSE))</f>
        <v/>
      </c>
      <c r="FC7"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7" s="15">
        <f t="array" ref="FD7">IFERROR(MATCH(FALSE,Register[[#This Row],[Study Details Complete]:[SIV Complete]],0),IFERROR(MATCH(TRUE,ISBLANK(Register[[#This Row],[Study Details Complete]:[SIV Complete]]),0),1))</f>
        <v>1</v>
      </c>
    </row>
    <row r="8" spans="1:160" x14ac:dyDescent="0.25">
      <c r="D8" s="5">
        <v>44452.375509259262</v>
      </c>
      <c r="E8" s="6" t="s">
        <v>173</v>
      </c>
      <c r="F8" s="5">
        <v>44452.377384259256</v>
      </c>
      <c r="G8" s="6" t="s">
        <v>173</v>
      </c>
      <c r="H8" s="5">
        <v>44466.442152777781</v>
      </c>
      <c r="I8" s="6" t="s">
        <v>173</v>
      </c>
      <c r="J8" s="4" t="s">
        <v>186</v>
      </c>
      <c r="K8" s="4" t="s">
        <v>187</v>
      </c>
      <c r="L8" s="4" t="s">
        <v>188</v>
      </c>
      <c r="M8" s="4" t="s">
        <v>189</v>
      </c>
      <c r="N8" s="4" t="s">
        <v>190</v>
      </c>
      <c r="O8" s="4"/>
      <c r="P8" s="7"/>
      <c r="Q8" s="5">
        <v>44452.38113425926</v>
      </c>
      <c r="R8" s="6" t="s">
        <v>173</v>
      </c>
      <c r="S8" s="18">
        <v>43840</v>
      </c>
      <c r="T8" s="4" t="s">
        <v>191</v>
      </c>
      <c r="U8" s="4" t="s">
        <v>192</v>
      </c>
      <c r="V8" s="18">
        <v>43850</v>
      </c>
      <c r="W8" s="4"/>
      <c r="X8" s="4"/>
      <c r="Y8" s="4"/>
      <c r="Z8" s="4"/>
      <c r="AA8" s="4"/>
      <c r="AB8" s="4"/>
      <c r="AC8" s="4"/>
      <c r="AD8" s="6"/>
      <c r="AE8" s="5">
        <v>44452.37909722222</v>
      </c>
      <c r="AF8" s="6" t="s">
        <v>173</v>
      </c>
      <c r="AG8" s="4"/>
      <c r="AH8" s="4"/>
      <c r="AI8" s="4"/>
      <c r="AJ8" s="4"/>
      <c r="AK8" s="4"/>
      <c r="AL8" s="6"/>
      <c r="AM8" s="5"/>
      <c r="AN8" s="6"/>
      <c r="AO8" s="4"/>
      <c r="AP8" s="6"/>
      <c r="AQ8" s="5"/>
      <c r="AR8" s="6"/>
      <c r="AS8" s="4"/>
      <c r="AT8" s="4"/>
      <c r="AU8" s="4"/>
      <c r="AV8" s="4"/>
      <c r="AW8" s="4"/>
      <c r="AX8" s="4"/>
      <c r="AY8" s="4"/>
      <c r="AZ8" s="4"/>
      <c r="BA8" s="4"/>
      <c r="BB8" s="4"/>
      <c r="BC8" s="4"/>
      <c r="BD8" s="4"/>
      <c r="BE8" s="4"/>
      <c r="BF8" s="4"/>
      <c r="BG8" s="4"/>
      <c r="BH8" s="4"/>
      <c r="BI8" s="4"/>
      <c r="BJ8" s="4"/>
      <c r="BK8" s="4"/>
      <c r="BL8" s="5"/>
      <c r="BM8" s="6"/>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5"/>
      <c r="CR8" s="6"/>
      <c r="CS8" s="4"/>
      <c r="CT8" s="4"/>
      <c r="CU8" s="4"/>
      <c r="CV8" s="4"/>
      <c r="CW8" s="4"/>
      <c r="CX8" s="4"/>
      <c r="CY8" s="4"/>
      <c r="CZ8" s="4"/>
      <c r="DA8" s="4"/>
      <c r="DB8" s="5"/>
      <c r="DC8" s="6"/>
      <c r="DD8" s="4"/>
      <c r="DE8" s="4"/>
      <c r="DF8" s="4"/>
      <c r="DG8" s="6"/>
      <c r="DH8" s="5"/>
      <c r="DI8" s="6"/>
      <c r="DJ8" s="4"/>
      <c r="DK8" s="4"/>
      <c r="DL8" s="4"/>
      <c r="DM8" s="4"/>
      <c r="DN8" s="4"/>
      <c r="DO8" s="4"/>
      <c r="DP8" s="4"/>
      <c r="DQ8" s="6"/>
      <c r="DR8" s="5"/>
      <c r="DS8" s="6"/>
      <c r="DT8" s="4"/>
      <c r="DU8" s="6"/>
      <c r="DV8" s="5"/>
      <c r="DW8" s="6"/>
      <c r="DX8" s="4"/>
      <c r="DY8" s="6"/>
      <c r="DZ8" s="5"/>
      <c r="EA8" s="6"/>
      <c r="EB8" s="6"/>
      <c r="EC8" s="6"/>
      <c r="ED8" s="6"/>
      <c r="EE8" s="6"/>
      <c r="EF8" s="6"/>
      <c r="EG8" s="6"/>
      <c r="EH8" s="6"/>
      <c r="EI8" s="6"/>
      <c r="EJ8" s="6"/>
      <c r="EK8" s="6"/>
      <c r="EL8" s="6"/>
      <c r="EM8" s="6"/>
      <c r="EN8" s="6"/>
      <c r="EO8" s="6"/>
      <c r="EP8" s="6"/>
      <c r="EQ8" s="6"/>
      <c r="ER8" s="6"/>
      <c r="ES8" s="6"/>
      <c r="ET8" s="6"/>
      <c r="EU8" s="6"/>
      <c r="EV8" s="6"/>
      <c r="EW8" s="6"/>
      <c r="EX8" s="6"/>
      <c r="EY8" s="6"/>
      <c r="EZ8" s="15" t="str">
        <f>IF(COUNTA(Register[[#This Row],[Ethics - CAHS Complete]:[Ethics - Others Complete]])=0, "",IF(COUNTIF(Register[[#This Row],[Ethics - CAHS Complete]:[Ethics - Others Complete]],TRUE)&gt;0,TRUE,FALSE))</f>
        <v/>
      </c>
      <c r="FA8" s="6" t="str">
        <f>IF(COUNTA(Register[[#This Row],[Gov - PCH Complete]:[Gov - Others Complete]])=0,"",IF(COUNTIF(Register[[#This Row],[Gov - PCH Complete]:[Gov - Others Complete]],TRUE)&gt;0,TRUE,FALSE))</f>
        <v/>
      </c>
      <c r="FB8" s="6" t="str">
        <f>IF(COUNTA(Register[[#This Row],[Budget - VTG Complete]:[Budget - Pharmacy Complete]])=0,"",IF(COUNTIF(Register[[#This Row],[Budget - VTG Complete]:[Budget - Pharmacy Complete]],TRUE)=3,TRUE,FALSE))</f>
        <v/>
      </c>
      <c r="FC8"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8" s="15">
        <f t="array" ref="FD8">IFERROR(MATCH(FALSE,Register[[#This Row],[Study Details Complete]:[SIV Complete]],0),IFERROR(MATCH(TRUE,ISBLANK(Register[[#This Row],[Study Details Complete]:[SIV Complete]]),0),1))</f>
        <v>1</v>
      </c>
    </row>
    <row r="9" spans="1:160" x14ac:dyDescent="0.25">
      <c r="D9" s="5">
        <v>44452.381851851853</v>
      </c>
      <c r="E9" s="6" t="s">
        <v>173</v>
      </c>
      <c r="F9" s="5"/>
      <c r="G9" s="6"/>
      <c r="H9" s="5">
        <v>44479.492789351854</v>
      </c>
      <c r="I9" s="6" t="s">
        <v>173</v>
      </c>
      <c r="J9" s="4" t="s">
        <v>174</v>
      </c>
      <c r="K9" s="4" t="s">
        <v>194</v>
      </c>
      <c r="L9" s="4" t="s">
        <v>195</v>
      </c>
      <c r="M9" s="4" t="s">
        <v>196</v>
      </c>
      <c r="N9" s="4" t="s">
        <v>197</v>
      </c>
      <c r="O9" s="4" t="s">
        <v>198</v>
      </c>
      <c r="P9" s="59" t="s">
        <v>278</v>
      </c>
      <c r="Q9" s="5">
        <v>44479.031990740739</v>
      </c>
      <c r="R9" s="6" t="s">
        <v>173</v>
      </c>
      <c r="S9" s="18">
        <v>43840</v>
      </c>
      <c r="T9" s="18">
        <v>43842</v>
      </c>
      <c r="U9" s="18">
        <v>43863</v>
      </c>
      <c r="V9" s="18">
        <v>43891</v>
      </c>
      <c r="W9" s="18">
        <v>43921</v>
      </c>
      <c r="X9" s="60" t="s">
        <v>278</v>
      </c>
      <c r="Y9" s="18">
        <v>44477.423379629632</v>
      </c>
      <c r="Z9" s="18" t="s">
        <v>173</v>
      </c>
      <c r="AA9" s="18">
        <v>43845</v>
      </c>
      <c r="AB9" s="18">
        <v>43921</v>
      </c>
      <c r="AC9" s="4" t="s">
        <v>199</v>
      </c>
      <c r="AD9" s="61" t="s">
        <v>276</v>
      </c>
      <c r="AE9" s="5">
        <v>44477.389270833337</v>
      </c>
      <c r="AF9" s="6" t="s">
        <v>173</v>
      </c>
      <c r="AG9" s="18">
        <v>43910</v>
      </c>
      <c r="AH9" s="4" t="s">
        <v>200</v>
      </c>
      <c r="AI9" s="18">
        <v>43917</v>
      </c>
      <c r="AJ9" s="4" t="s">
        <v>201</v>
      </c>
      <c r="AK9" s="18">
        <v>43922</v>
      </c>
      <c r="AL9" s="61" t="s">
        <v>276</v>
      </c>
      <c r="AM9" s="5">
        <v>44477.389305555553</v>
      </c>
      <c r="AN9" s="6" t="s">
        <v>173</v>
      </c>
      <c r="AO9" s="18">
        <v>43926</v>
      </c>
      <c r="AP9" s="61" t="s">
        <v>276</v>
      </c>
      <c r="AQ9" s="5">
        <v>44477.389328703706</v>
      </c>
      <c r="AR9" s="6" t="s">
        <v>173</v>
      </c>
      <c r="AS9" s="18">
        <v>43983</v>
      </c>
      <c r="AT9" s="18">
        <v>44440</v>
      </c>
      <c r="AU9" s="18">
        <v>44228</v>
      </c>
      <c r="AV9" s="18">
        <v>44012</v>
      </c>
      <c r="AW9" s="60" t="s">
        <v>276</v>
      </c>
      <c r="AX9" s="4" t="s">
        <v>202</v>
      </c>
      <c r="AY9" s="18">
        <v>43831</v>
      </c>
      <c r="AZ9" s="18">
        <v>43856</v>
      </c>
      <c r="BA9" s="60" t="s">
        <v>276</v>
      </c>
      <c r="BB9" s="18">
        <v>43850</v>
      </c>
      <c r="BC9" s="18">
        <v>43854</v>
      </c>
      <c r="BD9" s="60" t="s">
        <v>276</v>
      </c>
      <c r="BE9" s="4"/>
      <c r="BF9" s="4"/>
      <c r="BG9" s="4"/>
      <c r="BH9" s="4" t="s">
        <v>279</v>
      </c>
      <c r="BI9" s="18">
        <v>44045</v>
      </c>
      <c r="BJ9" s="18">
        <v>43831</v>
      </c>
      <c r="BK9" s="62" t="s">
        <v>278</v>
      </c>
      <c r="BL9" s="5">
        <v>44478.208784722221</v>
      </c>
      <c r="BM9" s="6" t="s">
        <v>173</v>
      </c>
      <c r="BN9" s="18">
        <v>43983</v>
      </c>
      <c r="BO9" s="18">
        <v>43956</v>
      </c>
      <c r="BP9" s="18">
        <v>44083</v>
      </c>
      <c r="BQ9" s="60" t="s">
        <v>276</v>
      </c>
      <c r="BR9" s="18">
        <v>44013</v>
      </c>
      <c r="BS9" s="18">
        <v>44017</v>
      </c>
      <c r="BT9" s="18">
        <v>44044</v>
      </c>
      <c r="BU9" s="60" t="s">
        <v>276</v>
      </c>
      <c r="BV9" s="4"/>
      <c r="BW9" s="4"/>
      <c r="BX9" s="4"/>
      <c r="BY9" s="4"/>
      <c r="BZ9" s="4"/>
      <c r="CA9" s="4"/>
      <c r="CB9" s="4"/>
      <c r="CC9" s="4"/>
      <c r="CD9" s="4"/>
      <c r="CE9" s="4"/>
      <c r="CF9" s="4"/>
      <c r="CG9" s="4"/>
      <c r="CH9" s="4"/>
      <c r="CI9" s="4"/>
      <c r="CJ9" s="4"/>
      <c r="CK9" s="4"/>
      <c r="CL9" s="4"/>
      <c r="CM9" s="4"/>
      <c r="CN9" s="4"/>
      <c r="CO9" s="4"/>
      <c r="CP9" s="4"/>
      <c r="CQ9" s="5">
        <v>44477.389490740738</v>
      </c>
      <c r="CR9" s="6" t="s">
        <v>173</v>
      </c>
      <c r="CS9" s="18">
        <v>44044</v>
      </c>
      <c r="CT9" s="18">
        <v>44058</v>
      </c>
      <c r="CU9" s="18">
        <v>44075</v>
      </c>
      <c r="CV9" s="60" t="s">
        <v>276</v>
      </c>
      <c r="CW9" s="18">
        <v>44079</v>
      </c>
      <c r="CX9" s="60" t="s">
        <v>276</v>
      </c>
      <c r="CY9" s="18">
        <v>44044</v>
      </c>
      <c r="CZ9" s="18">
        <v>44104</v>
      </c>
      <c r="DA9" s="60" t="s">
        <v>276</v>
      </c>
      <c r="DB9" s="5">
        <v>44477.389652777776</v>
      </c>
      <c r="DC9" s="6" t="s">
        <v>173</v>
      </c>
      <c r="DD9" s="18">
        <v>44136</v>
      </c>
      <c r="DE9" s="18">
        <v>44136</v>
      </c>
      <c r="DF9" s="18">
        <v>44197</v>
      </c>
      <c r="DG9" s="61" t="s">
        <v>276</v>
      </c>
      <c r="DH9" s="5">
        <v>44477.389525462961</v>
      </c>
      <c r="DI9" s="6" t="s">
        <v>173</v>
      </c>
      <c r="DJ9" s="18">
        <v>43952</v>
      </c>
      <c r="DK9" s="18">
        <v>43954</v>
      </c>
      <c r="DL9" s="18">
        <v>43955</v>
      </c>
      <c r="DM9" s="18">
        <v>43957</v>
      </c>
      <c r="DN9" s="18">
        <v>43957</v>
      </c>
      <c r="DO9" s="18">
        <v>43958</v>
      </c>
      <c r="DP9" s="18">
        <v>43959</v>
      </c>
      <c r="DQ9" s="61" t="s">
        <v>276</v>
      </c>
      <c r="DR9" s="5">
        <v>44477.389594907407</v>
      </c>
      <c r="DS9" s="6" t="s">
        <v>173</v>
      </c>
      <c r="DT9" s="18">
        <v>44124</v>
      </c>
      <c r="DU9" s="61" t="s">
        <v>276</v>
      </c>
      <c r="DV9" s="5">
        <v>44477.389687499999</v>
      </c>
      <c r="DW9" s="6" t="s">
        <v>173</v>
      </c>
      <c r="DX9" s="18">
        <v>44593</v>
      </c>
      <c r="DY9" s="61" t="s">
        <v>276</v>
      </c>
      <c r="DZ9" s="5">
        <v>44477.389756944445</v>
      </c>
      <c r="EA9" s="6" t="s">
        <v>173</v>
      </c>
      <c r="EB9" s="6" t="b">
        <v>1</v>
      </c>
      <c r="EC9" s="6" t="b">
        <v>1</v>
      </c>
      <c r="ED9" s="6" t="b">
        <v>1</v>
      </c>
      <c r="EE9" s="6" t="b">
        <v>1</v>
      </c>
      <c r="EF9" s="6" t="b">
        <v>0</v>
      </c>
      <c r="EG9" s="6" t="b">
        <v>1</v>
      </c>
      <c r="EH9" s="6" t="b">
        <v>1</v>
      </c>
      <c r="EI9" s="6" t="b">
        <v>1</v>
      </c>
      <c r="EJ9" s="6"/>
      <c r="EK9" s="6" t="b">
        <v>1</v>
      </c>
      <c r="EL9" s="6" t="b">
        <v>1</v>
      </c>
      <c r="EM9" s="6" t="b">
        <v>1</v>
      </c>
      <c r="EN9" s="6"/>
      <c r="EO9" s="6"/>
      <c r="EP9" s="6"/>
      <c r="EQ9" s="6"/>
      <c r="ER9" s="6"/>
      <c r="ES9" s="6" t="b">
        <v>1</v>
      </c>
      <c r="ET9" s="6" t="b">
        <v>1</v>
      </c>
      <c r="EU9" s="6" t="b">
        <v>1</v>
      </c>
      <c r="EV9" s="6" t="b">
        <v>1</v>
      </c>
      <c r="EW9" s="6" t="b">
        <v>1</v>
      </c>
      <c r="EX9" s="6" t="b">
        <v>1</v>
      </c>
      <c r="EY9" s="6" t="b">
        <v>1</v>
      </c>
      <c r="EZ9" s="15" t="b">
        <f>IF(COUNTA(Register[[#This Row],[Ethics - CAHS Complete]:[Ethics - Others Complete]])=0, "",IF(COUNTIF(Register[[#This Row],[Ethics - CAHS Complete]:[Ethics - Others Complete]],TRUE)&gt;0,TRUE,FALSE))</f>
        <v>1</v>
      </c>
      <c r="FA9" s="6" t="b">
        <f>IF(COUNTA(Register[[#This Row],[Gov - PCH Complete]:[Gov - Others Complete]])=0,"",IF(COUNTIF(Register[[#This Row],[Gov - PCH Complete]:[Gov - Others Complete]],TRUE)&gt;0,TRUE,FALSE))</f>
        <v>1</v>
      </c>
      <c r="FB9" s="6" t="b">
        <f>IF(COUNTA(Register[[#This Row],[Budget - VTG Complete]:[Budget - Pharmacy Complete]])=0,"",IF(COUNTIF(Register[[#This Row],[Budget - VTG Complete]:[Budget - Pharmacy Complete]],TRUE)=3,TRUE,FALSE))</f>
        <v>1</v>
      </c>
      <c r="FC9"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9" s="15">
        <f t="array" ref="FD9">IFERROR(MATCH(FALSE,Register[[#This Row],[Study Details Complete]:[SIV Complete]],0),IFERROR(MATCH(TRUE,ISBLANK(Register[[#This Row],[Study Details Complete]:[SIV Complete]]),0),1))</f>
        <v>5</v>
      </c>
    </row>
    <row r="10" spans="1:160" x14ac:dyDescent="0.25">
      <c r="D10" s="5">
        <v>44473.627581018518</v>
      </c>
      <c r="E10" s="6" t="s">
        <v>250</v>
      </c>
      <c r="F10" s="5"/>
      <c r="G10" s="6"/>
      <c r="H10" s="5">
        <v>44479.492175925923</v>
      </c>
      <c r="I10" s="6" t="s">
        <v>173</v>
      </c>
      <c r="J10" s="4" t="s">
        <v>277</v>
      </c>
      <c r="K10" s="4">
        <v>212171</v>
      </c>
      <c r="L10" s="4" t="s">
        <v>251</v>
      </c>
      <c r="M10" s="4" t="s">
        <v>193</v>
      </c>
      <c r="N10" s="4" t="s">
        <v>193</v>
      </c>
      <c r="O10" s="4" t="s">
        <v>252</v>
      </c>
      <c r="P10" s="7"/>
      <c r="Q10" s="5">
        <v>44475.231874999998</v>
      </c>
      <c r="R10" s="6" t="s">
        <v>173</v>
      </c>
      <c r="S10" s="18"/>
      <c r="T10" s="18"/>
      <c r="U10" s="18"/>
      <c r="V10" s="18"/>
      <c r="W10" s="18"/>
      <c r="X10" s="18"/>
      <c r="Y10" s="18"/>
      <c r="Z10" s="18"/>
      <c r="AA10" s="18"/>
      <c r="AB10" s="18"/>
      <c r="AC10" s="4"/>
      <c r="AD10" s="6"/>
      <c r="AE10" s="5"/>
      <c r="AF10" s="6"/>
      <c r="AG10" s="18"/>
      <c r="AH10" s="4"/>
      <c r="AI10" s="18"/>
      <c r="AJ10" s="4"/>
      <c r="AK10" s="18"/>
      <c r="AL10" s="6"/>
      <c r="AM10" s="5"/>
      <c r="AN10" s="6"/>
      <c r="AO10" s="18"/>
      <c r="AP10" s="6"/>
      <c r="AQ10" s="5"/>
      <c r="AR10" s="6"/>
      <c r="AS10" s="18"/>
      <c r="AT10" s="18"/>
      <c r="AU10" s="18"/>
      <c r="AV10" s="18"/>
      <c r="AW10" s="18"/>
      <c r="AX10" s="4"/>
      <c r="AY10" s="18"/>
      <c r="AZ10" s="18"/>
      <c r="BA10" s="18"/>
      <c r="BB10" s="18"/>
      <c r="BC10" s="18">
        <v>44342</v>
      </c>
      <c r="BD10" s="18"/>
      <c r="BE10" s="4"/>
      <c r="BF10" s="18">
        <v>44358</v>
      </c>
      <c r="BG10" s="4"/>
      <c r="BH10" s="4"/>
      <c r="BI10" s="18"/>
      <c r="BJ10" s="4"/>
      <c r="BK10" s="4"/>
      <c r="BL10" s="5">
        <v>44473.628657407404</v>
      </c>
      <c r="BM10" s="6" t="s">
        <v>250</v>
      </c>
      <c r="BN10" s="18"/>
      <c r="BO10" s="18"/>
      <c r="BP10" s="18">
        <v>44352</v>
      </c>
      <c r="BQ10" s="18"/>
      <c r="BR10" s="18"/>
      <c r="BS10" s="18"/>
      <c r="BT10" s="18">
        <v>44356</v>
      </c>
      <c r="BU10" s="18"/>
      <c r="BV10" s="4"/>
      <c r="BW10" s="4"/>
      <c r="BX10" s="4"/>
      <c r="BY10" s="4" t="s">
        <v>253</v>
      </c>
      <c r="BZ10" s="4"/>
      <c r="CA10" s="4"/>
      <c r="CB10" s="4"/>
      <c r="CC10" s="4" t="s">
        <v>253</v>
      </c>
      <c r="CD10" s="4"/>
      <c r="CE10" s="4"/>
      <c r="CF10" s="18">
        <v>44382</v>
      </c>
      <c r="CG10" s="4"/>
      <c r="CH10" s="4"/>
      <c r="CI10" s="4"/>
      <c r="CJ10" s="4"/>
      <c r="CK10" s="4" t="s">
        <v>254</v>
      </c>
      <c r="CL10" s="4" t="s">
        <v>255</v>
      </c>
      <c r="CM10" s="4"/>
      <c r="CN10" s="4"/>
      <c r="CO10" s="4"/>
      <c r="CP10" s="4" t="s">
        <v>256</v>
      </c>
      <c r="CQ10" s="5">
        <v>44473.629826388889</v>
      </c>
      <c r="CR10" s="6" t="s">
        <v>250</v>
      </c>
      <c r="CS10" s="18"/>
      <c r="CT10" s="18"/>
      <c r="CU10" s="18"/>
      <c r="CV10" s="18"/>
      <c r="CW10" s="18"/>
      <c r="CX10" s="18"/>
      <c r="CY10" s="18"/>
      <c r="CZ10" s="18"/>
      <c r="DA10" s="18" t="s">
        <v>258</v>
      </c>
      <c r="DB10" s="5">
        <v>44473.630543981482</v>
      </c>
      <c r="DC10" s="6" t="s">
        <v>250</v>
      </c>
      <c r="DD10" s="18"/>
      <c r="DE10" s="18"/>
      <c r="DF10" s="18"/>
      <c r="DG10" s="6" t="s">
        <v>257</v>
      </c>
      <c r="DH10" s="5">
        <v>44473.630115740743</v>
      </c>
      <c r="DI10" s="6" t="s">
        <v>250</v>
      </c>
      <c r="DJ10" s="18"/>
      <c r="DK10" s="18"/>
      <c r="DL10" s="18"/>
      <c r="DM10" s="18"/>
      <c r="DN10" s="18"/>
      <c r="DO10" s="18"/>
      <c r="DP10" s="18"/>
      <c r="DQ10" s="6" t="s">
        <v>259</v>
      </c>
      <c r="DR10" s="5">
        <v>44473.630659722221</v>
      </c>
      <c r="DS10" s="6" t="s">
        <v>250</v>
      </c>
      <c r="DT10" s="18"/>
      <c r="DU10" s="6" t="s">
        <v>260</v>
      </c>
      <c r="DV10" s="5">
        <v>44473.630729166667</v>
      </c>
      <c r="DW10" s="6" t="s">
        <v>250</v>
      </c>
      <c r="DX10" s="18">
        <v>44397</v>
      </c>
      <c r="DY10" s="6"/>
      <c r="DZ10" s="5">
        <v>44473.630891203706</v>
      </c>
      <c r="EA10" s="6" t="s">
        <v>250</v>
      </c>
      <c r="EB10" s="15" t="b">
        <v>1</v>
      </c>
      <c r="EC10" s="15"/>
      <c r="ED10" s="15"/>
      <c r="EE10" s="15"/>
      <c r="EF10" s="15"/>
      <c r="EG10" s="15"/>
      <c r="EH10" s="6"/>
      <c r="EI10" s="6" t="b">
        <v>0</v>
      </c>
      <c r="EJ10" s="6" t="b">
        <v>0</v>
      </c>
      <c r="EK10" s="6"/>
      <c r="EL10" s="6" t="b">
        <v>0</v>
      </c>
      <c r="EM10" s="6" t="b">
        <v>0</v>
      </c>
      <c r="EN10" s="6"/>
      <c r="EO10" s="6"/>
      <c r="EP10" s="6" t="b">
        <v>0</v>
      </c>
      <c r="EQ10" s="6"/>
      <c r="ER10" s="6" t="b">
        <v>0</v>
      </c>
      <c r="ES10" s="6"/>
      <c r="ET10" s="6"/>
      <c r="EU10" s="6"/>
      <c r="EV10" s="6"/>
      <c r="EW10" s="6"/>
      <c r="EX10" s="6"/>
      <c r="EY10" s="6" t="b">
        <v>1</v>
      </c>
      <c r="EZ10" s="15" t="b">
        <f>IF(COUNTA(Register[[#This Row],[Ethics - CAHS Complete]:[Ethics - Others Complete]])=0, "",IF(COUNTIF(Register[[#This Row],[Ethics - CAHS Complete]:[Ethics - Others Complete]],TRUE)&gt;0,TRUE,FALSE))</f>
        <v>0</v>
      </c>
      <c r="FA10" s="15" t="b">
        <f>IF(COUNTA(Register[[#This Row],[Gov - PCH Complete]:[Gov - Others Complete]])=0,"",IF(COUNTIF(Register[[#This Row],[Gov - PCH Complete]:[Gov - Others Complete]],TRUE)&gt;0,TRUE,FALSE))</f>
        <v>0</v>
      </c>
      <c r="FB10" s="15" t="str">
        <f>IF(COUNTA(Register[[#This Row],[Budget - VTG Complete]:[Budget - Pharmacy Complete]])=0,"",IF(COUNTIF(Register[[#This Row],[Budget - VTG Complete]:[Budget - Pharmacy Complete]],TRUE)=3,TRUE,FALSE))</f>
        <v/>
      </c>
      <c r="FC10"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0" s="15">
        <f t="array" ref="FD10">IFERROR(MATCH(FALSE,Register[[#This Row],[Study Details Complete]:[SIV Complete]],0),IFERROR(MATCH(TRUE,ISBLANK(Register[[#This Row],[Study Details Complete]:[SIV Complete]]),0),1))</f>
        <v>8</v>
      </c>
    </row>
    <row r="11" spans="1:160" x14ac:dyDescent="0.25">
      <c r="D11" s="5">
        <v>44473.632164351853</v>
      </c>
      <c r="E11" s="6" t="s">
        <v>250</v>
      </c>
      <c r="F11" s="5"/>
      <c r="G11" s="6"/>
      <c r="H11" s="5">
        <v>44479.491990740738</v>
      </c>
      <c r="I11" s="6" t="s">
        <v>173</v>
      </c>
      <c r="J11" s="4" t="s">
        <v>261</v>
      </c>
      <c r="K11" s="4" t="s">
        <v>262</v>
      </c>
      <c r="L11" s="4" t="s">
        <v>263</v>
      </c>
      <c r="M11" s="4" t="s">
        <v>189</v>
      </c>
      <c r="N11" s="4" t="s">
        <v>264</v>
      </c>
      <c r="O11" s="4" t="s">
        <v>265</v>
      </c>
      <c r="P11" s="7"/>
      <c r="Q11" s="5">
        <v>44475.231990740744</v>
      </c>
      <c r="R11" s="6" t="s">
        <v>173</v>
      </c>
      <c r="S11" s="18">
        <v>44013</v>
      </c>
      <c r="T11" s="18">
        <v>44014</v>
      </c>
      <c r="U11" s="18">
        <v>44015</v>
      </c>
      <c r="V11" s="18">
        <v>44016</v>
      </c>
      <c r="W11" s="18">
        <v>44017</v>
      </c>
      <c r="X11" s="18"/>
      <c r="Y11" s="18">
        <v>44473.636064814818</v>
      </c>
      <c r="Z11" s="18" t="s">
        <v>250</v>
      </c>
      <c r="AA11" s="18">
        <v>44018</v>
      </c>
      <c r="AB11" s="18">
        <v>44019</v>
      </c>
      <c r="AC11" s="18"/>
      <c r="AD11" s="6"/>
      <c r="AE11" s="5">
        <v>44473.636203703703</v>
      </c>
      <c r="AF11" s="6" t="s">
        <v>250</v>
      </c>
      <c r="AG11" s="18"/>
      <c r="AH11" s="4"/>
      <c r="AI11" s="18"/>
      <c r="AJ11" s="4"/>
      <c r="AK11" s="18"/>
      <c r="AL11" s="6"/>
      <c r="AM11" s="5"/>
      <c r="AN11" s="6"/>
      <c r="AO11" s="18"/>
      <c r="AP11" s="6"/>
      <c r="AQ11" s="5"/>
      <c r="AR11" s="6"/>
      <c r="AS11" s="18"/>
      <c r="AT11" s="18"/>
      <c r="AU11" s="18"/>
      <c r="AV11" s="18"/>
      <c r="AW11" s="18"/>
      <c r="AX11" s="4" t="s">
        <v>266</v>
      </c>
      <c r="AY11" s="18"/>
      <c r="AZ11" s="18">
        <v>44027</v>
      </c>
      <c r="BA11" s="18"/>
      <c r="BB11" s="18"/>
      <c r="BC11" s="18"/>
      <c r="BD11" s="18"/>
      <c r="BE11" s="18">
        <v>44021</v>
      </c>
      <c r="BF11" s="18">
        <v>44028</v>
      </c>
      <c r="BG11" s="4"/>
      <c r="BH11" s="4"/>
      <c r="BI11" s="18"/>
      <c r="BJ11" s="4"/>
      <c r="BK11" s="4"/>
      <c r="BL11" s="5">
        <v>44473.636608796296</v>
      </c>
      <c r="BM11" s="6" t="s">
        <v>250</v>
      </c>
      <c r="BN11" s="18"/>
      <c r="BO11" s="18"/>
      <c r="BP11" s="18"/>
      <c r="BQ11" s="18"/>
      <c r="BR11" s="18"/>
      <c r="BS11" s="18"/>
      <c r="BT11" s="18"/>
      <c r="BU11" s="18"/>
      <c r="BV11" s="4"/>
      <c r="BW11" s="4"/>
      <c r="BX11" s="4"/>
      <c r="BY11" s="4"/>
      <c r="BZ11" s="4"/>
      <c r="CA11" s="4"/>
      <c r="CB11" s="4"/>
      <c r="CC11" s="4"/>
      <c r="CD11" s="4"/>
      <c r="CE11" s="4"/>
      <c r="CF11" s="18"/>
      <c r="CG11" s="4"/>
      <c r="CH11" s="4"/>
      <c r="CI11" s="4"/>
      <c r="CJ11" s="4"/>
      <c r="CK11" s="4"/>
      <c r="CL11" s="4"/>
      <c r="CM11" s="4"/>
      <c r="CN11" s="4"/>
      <c r="CO11" s="4"/>
      <c r="CP11" s="4"/>
      <c r="CQ11" s="5"/>
      <c r="CR11" s="6"/>
      <c r="CS11" s="18"/>
      <c r="CT11" s="18"/>
      <c r="CU11" s="18"/>
      <c r="CV11" s="18"/>
      <c r="CW11" s="18"/>
      <c r="CX11" s="18"/>
      <c r="CY11" s="18"/>
      <c r="CZ11" s="18"/>
      <c r="DA11" s="18"/>
      <c r="DB11" s="5"/>
      <c r="DC11" s="6"/>
      <c r="DD11" s="18"/>
      <c r="DE11" s="18"/>
      <c r="DF11" s="18"/>
      <c r="DG11" s="6"/>
      <c r="DH11" s="5"/>
      <c r="DI11" s="6"/>
      <c r="DJ11" s="18"/>
      <c r="DK11" s="18"/>
      <c r="DL11" s="18"/>
      <c r="DM11" s="18"/>
      <c r="DN11" s="18"/>
      <c r="DO11" s="18"/>
      <c r="DP11" s="18"/>
      <c r="DQ11" s="6"/>
      <c r="DR11" s="5"/>
      <c r="DS11" s="6"/>
      <c r="DT11" s="18"/>
      <c r="DU11" s="6"/>
      <c r="DV11" s="5"/>
      <c r="DW11" s="6"/>
      <c r="DX11" s="18"/>
      <c r="DY11" s="6"/>
      <c r="DZ11" s="5"/>
      <c r="EA11" s="6"/>
      <c r="EB11" s="15" t="b">
        <v>1</v>
      </c>
      <c r="EC11" s="15" t="b">
        <v>1</v>
      </c>
      <c r="ED11" s="15" t="b">
        <v>0</v>
      </c>
      <c r="EE11" s="15"/>
      <c r="EF11" s="15"/>
      <c r="EG11" s="15"/>
      <c r="EH11" s="6" t="b">
        <v>0</v>
      </c>
      <c r="EI11" s="6"/>
      <c r="EJ11" s="6" t="b">
        <v>1</v>
      </c>
      <c r="EK11" s="6"/>
      <c r="EL11" s="6"/>
      <c r="EM11" s="6"/>
      <c r="EN11" s="6"/>
      <c r="EO11" s="6"/>
      <c r="EP11" s="6"/>
      <c r="EQ11" s="6"/>
      <c r="ER11" s="6"/>
      <c r="ES11" s="6"/>
      <c r="ET11" s="6"/>
      <c r="EU11" s="6"/>
      <c r="EV11" s="6"/>
      <c r="EW11" s="6"/>
      <c r="EX11" s="6"/>
      <c r="EY11" s="6"/>
      <c r="EZ11" s="15" t="b">
        <f>IF(COUNTA(Register[[#This Row],[Ethics - CAHS Complete]:[Ethics - Others Complete]])=0, "",IF(COUNTIF(Register[[#This Row],[Ethics - CAHS Complete]:[Ethics - Others Complete]],TRUE)&gt;0,TRUE,FALSE))</f>
        <v>1</v>
      </c>
      <c r="FA11" s="15" t="str">
        <f>IF(COUNTA(Register[[#This Row],[Gov - PCH Complete]:[Gov - Others Complete]])=0,"",IF(COUNTIF(Register[[#This Row],[Gov - PCH Complete]:[Gov - Others Complete]],TRUE)&gt;0,TRUE,FALSE))</f>
        <v/>
      </c>
      <c r="FB11" s="15" t="str">
        <f>IF(COUNTA(Register[[#This Row],[Budget - VTG Complete]:[Budget - Pharmacy Complete]])=0,"",IF(COUNTIF(Register[[#This Row],[Budget - VTG Complete]:[Budget - Pharmacy Complete]],TRUE)=3,TRUE,FALSE))</f>
        <v/>
      </c>
      <c r="FC11"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1" s="15">
        <f t="array" ref="FD11">IFERROR(MATCH(FALSE,Register[[#This Row],[Study Details Complete]:[SIV Complete]],0),IFERROR(MATCH(TRUE,ISBLANK(Register[[#This Row],[Study Details Complete]:[SIV Complete]]),0),1))</f>
        <v>3</v>
      </c>
    </row>
    <row r="12" spans="1:160" x14ac:dyDescent="0.25">
      <c r="D12" s="5">
        <v>44478.209004629629</v>
      </c>
      <c r="E12" s="6" t="s">
        <v>173</v>
      </c>
      <c r="F12" s="5"/>
      <c r="G12" s="6"/>
      <c r="H12" s="5">
        <v>44479.032071759262</v>
      </c>
      <c r="I12" s="6" t="s">
        <v>173</v>
      </c>
      <c r="J12" s="4" t="s">
        <v>174</v>
      </c>
      <c r="K12" s="4"/>
      <c r="L12" s="4" t="s">
        <v>280</v>
      </c>
      <c r="M12" s="4" t="s">
        <v>177</v>
      </c>
      <c r="N12" s="4"/>
      <c r="O12" s="4"/>
      <c r="P12" s="59" t="s">
        <v>278</v>
      </c>
      <c r="Q12" s="5">
        <v>44479.032037037039</v>
      </c>
      <c r="R12" s="6" t="s">
        <v>173</v>
      </c>
      <c r="S12" s="18">
        <v>43831</v>
      </c>
      <c r="T12" s="18"/>
      <c r="U12" s="18"/>
      <c r="V12" s="18"/>
      <c r="W12" s="18"/>
      <c r="X12" s="60" t="s">
        <v>278</v>
      </c>
      <c r="Y12" s="18">
        <v>44478.209236111114</v>
      </c>
      <c r="Z12" s="18" t="s">
        <v>173</v>
      </c>
      <c r="AA12" s="18">
        <v>43831</v>
      </c>
      <c r="AB12" s="18"/>
      <c r="AC12" s="18"/>
      <c r="AD12" s="61" t="s">
        <v>278</v>
      </c>
      <c r="AE12" s="5">
        <v>44478.209305555552</v>
      </c>
      <c r="AF12" s="6" t="s">
        <v>173</v>
      </c>
      <c r="AG12" s="18">
        <v>43831</v>
      </c>
      <c r="AH12" s="4" t="s">
        <v>200</v>
      </c>
      <c r="AI12" s="18"/>
      <c r="AJ12" s="4"/>
      <c r="AK12" s="18"/>
      <c r="AL12" s="61" t="s">
        <v>278</v>
      </c>
      <c r="AM12" s="5">
        <v>44478.209409722222</v>
      </c>
      <c r="AN12" s="6" t="s">
        <v>173</v>
      </c>
      <c r="AO12" s="18"/>
      <c r="AP12" s="61" t="s">
        <v>278</v>
      </c>
      <c r="AQ12" s="5">
        <v>44478.237291666665</v>
      </c>
      <c r="AR12" s="6" t="s">
        <v>173</v>
      </c>
      <c r="AS12" s="18"/>
      <c r="AT12" s="18"/>
      <c r="AU12" s="18"/>
      <c r="AV12" s="18"/>
      <c r="AW12" s="60" t="s">
        <v>278</v>
      </c>
      <c r="AX12" s="4"/>
      <c r="AY12" s="18"/>
      <c r="AZ12" s="18"/>
      <c r="BA12" s="60" t="s">
        <v>278</v>
      </c>
      <c r="BB12" s="18"/>
      <c r="BC12" s="18"/>
      <c r="BD12" s="60" t="s">
        <v>278</v>
      </c>
      <c r="BE12" s="18"/>
      <c r="BF12" s="18"/>
      <c r="BG12" s="62" t="s">
        <v>278</v>
      </c>
      <c r="BH12" s="4"/>
      <c r="BI12" s="18"/>
      <c r="BJ12" s="4"/>
      <c r="BK12" s="62" t="s">
        <v>278</v>
      </c>
      <c r="BL12" s="5">
        <v>44478.252152777779</v>
      </c>
      <c r="BM12" s="6" t="s">
        <v>173</v>
      </c>
      <c r="BN12" s="18"/>
      <c r="BO12" s="18"/>
      <c r="BP12" s="18"/>
      <c r="BQ12" s="60" t="s">
        <v>278</v>
      </c>
      <c r="BR12" s="18"/>
      <c r="BS12" s="18"/>
      <c r="BT12" s="18"/>
      <c r="BU12" s="60" t="s">
        <v>278</v>
      </c>
      <c r="BV12" s="4"/>
      <c r="BW12" s="4"/>
      <c r="BX12" s="4"/>
      <c r="BY12" s="62" t="s">
        <v>278</v>
      </c>
      <c r="BZ12" s="4"/>
      <c r="CA12" s="4"/>
      <c r="CB12" s="4"/>
      <c r="CC12" s="62" t="s">
        <v>278</v>
      </c>
      <c r="CD12" s="4"/>
      <c r="CE12" s="4"/>
      <c r="CF12" s="18"/>
      <c r="CG12" s="62" t="s">
        <v>278</v>
      </c>
      <c r="CH12" s="4"/>
      <c r="CI12" s="4"/>
      <c r="CJ12" s="4"/>
      <c r="CK12" s="62" t="s">
        <v>278</v>
      </c>
      <c r="CL12" s="4"/>
      <c r="CM12" s="4"/>
      <c r="CN12" s="4"/>
      <c r="CO12" s="4"/>
      <c r="CP12" s="62" t="s">
        <v>278</v>
      </c>
      <c r="CQ12" s="5">
        <v>44478.252303240741</v>
      </c>
      <c r="CR12" s="6" t="s">
        <v>173</v>
      </c>
      <c r="CS12" s="18"/>
      <c r="CT12" s="18"/>
      <c r="CU12" s="18"/>
      <c r="CV12" s="60" t="s">
        <v>278</v>
      </c>
      <c r="CW12" s="18"/>
      <c r="CX12" s="60" t="s">
        <v>278</v>
      </c>
      <c r="CY12" s="18"/>
      <c r="CZ12" s="18"/>
      <c r="DA12" s="60" t="s">
        <v>278</v>
      </c>
      <c r="DB12" s="5">
        <v>44478.252418981479</v>
      </c>
      <c r="DC12" s="6" t="s">
        <v>173</v>
      </c>
      <c r="DD12" s="18"/>
      <c r="DE12" s="18"/>
      <c r="DF12" s="18"/>
      <c r="DG12" s="61" t="s">
        <v>278</v>
      </c>
      <c r="DH12" s="5">
        <v>44478.252349537041</v>
      </c>
      <c r="DI12" s="6" t="s">
        <v>173</v>
      </c>
      <c r="DJ12" s="18"/>
      <c r="DK12" s="18"/>
      <c r="DL12" s="18"/>
      <c r="DM12" s="18"/>
      <c r="DN12" s="18"/>
      <c r="DO12" s="18"/>
      <c r="DP12" s="18"/>
      <c r="DQ12" s="61" t="s">
        <v>278</v>
      </c>
      <c r="DR12" s="5">
        <v>44478.252442129633</v>
      </c>
      <c r="DS12" s="6" t="s">
        <v>173</v>
      </c>
      <c r="DT12" s="18"/>
      <c r="DU12" s="61" t="s">
        <v>278</v>
      </c>
      <c r="DV12" s="5">
        <v>44478.252465277779</v>
      </c>
      <c r="DW12" s="6" t="s">
        <v>173</v>
      </c>
      <c r="DX12" s="18"/>
      <c r="DY12" s="61" t="s">
        <v>278</v>
      </c>
      <c r="DZ12" s="5">
        <v>44478.252511574072</v>
      </c>
      <c r="EA12" s="6" t="s">
        <v>173</v>
      </c>
      <c r="EB12" s="15" t="b">
        <v>0</v>
      </c>
      <c r="EC12" s="15" t="b">
        <v>0</v>
      </c>
      <c r="ED12" s="15" t="b">
        <v>0</v>
      </c>
      <c r="EE12" s="15" t="b">
        <v>0</v>
      </c>
      <c r="EF12" s="15" t="b">
        <v>0</v>
      </c>
      <c r="EG12" s="15"/>
      <c r="EH12" s="6"/>
      <c r="EI12" s="6"/>
      <c r="EJ12" s="6"/>
      <c r="EK12" s="6"/>
      <c r="EL12" s="6"/>
      <c r="EM12" s="6"/>
      <c r="EN12" s="6"/>
      <c r="EO12" s="6"/>
      <c r="EP12" s="6"/>
      <c r="EQ12" s="6"/>
      <c r="ER12" s="6"/>
      <c r="ES12" s="6"/>
      <c r="ET12" s="6"/>
      <c r="EU12" s="6"/>
      <c r="EV12" s="6"/>
      <c r="EW12" s="6"/>
      <c r="EX12" s="6"/>
      <c r="EY12" s="6"/>
      <c r="EZ12" s="15" t="str">
        <f>IF(COUNTA(Register[[#This Row],[Ethics - CAHS Complete]:[Ethics - Others Complete]])=0, "",IF(COUNTIF(Register[[#This Row],[Ethics - CAHS Complete]:[Ethics - Others Complete]],TRUE)&gt;0,TRUE,FALSE))</f>
        <v/>
      </c>
      <c r="FA12" s="15" t="str">
        <f>IF(COUNTA(Register[[#This Row],[Gov - PCH Complete]:[Gov - Others Complete]])=0,"",IF(COUNTIF(Register[[#This Row],[Gov - PCH Complete]:[Gov - Others Complete]],TRUE)&gt;0,TRUE,FALSE))</f>
        <v/>
      </c>
      <c r="FB12" s="15" t="str">
        <f>IF(COUNTA(Register[[#This Row],[Budget - VTG Complete]:[Budget - Pharmacy Complete]])=0,"",IF(COUNTIF(Register[[#This Row],[Budget - VTG Complete]:[Budget - Pharmacy Complete]],TRUE)=3,TRUE,FALSE))</f>
        <v/>
      </c>
      <c r="FC12"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2" s="15">
        <f t="array" ref="FD12">IFERROR(MATCH(FALSE,Register[[#This Row],[Study Details Complete]:[SIV Complete]],0),IFERROR(MATCH(TRUE,ISBLANK(Register[[#This Row],[Study Details Complete]:[SIV Complete]]),0),1))</f>
        <v>1</v>
      </c>
    </row>
    <row r="13" spans="1:160" x14ac:dyDescent="0.25">
      <c r="D13" s="5">
        <v>44452.381851851853</v>
      </c>
      <c r="E13" s="6" t="s">
        <v>173</v>
      </c>
      <c r="F13" s="5"/>
      <c r="G13" s="6"/>
      <c r="H13" s="5">
        <v>44478.251574074071</v>
      </c>
      <c r="I13" s="6" t="s">
        <v>173</v>
      </c>
      <c r="J13" s="4" t="s">
        <v>174</v>
      </c>
      <c r="K13" s="4" t="s">
        <v>194</v>
      </c>
      <c r="L13" s="4" t="s">
        <v>195</v>
      </c>
      <c r="M13" s="4" t="s">
        <v>196</v>
      </c>
      <c r="N13" s="4" t="s">
        <v>197</v>
      </c>
      <c r="O13" s="4" t="s">
        <v>198</v>
      </c>
      <c r="P13" s="59" t="s">
        <v>278</v>
      </c>
      <c r="Q13" s="5">
        <v>44478.251539351855</v>
      </c>
      <c r="R13" s="6" t="s">
        <v>173</v>
      </c>
      <c r="S13" s="18">
        <v>43840</v>
      </c>
      <c r="T13" s="18">
        <v>43842</v>
      </c>
      <c r="U13" s="18">
        <v>43863</v>
      </c>
      <c r="V13" s="18">
        <v>43891</v>
      </c>
      <c r="W13" s="18">
        <v>43921</v>
      </c>
      <c r="X13" s="60" t="s">
        <v>278</v>
      </c>
      <c r="Y13" s="18">
        <v>44477.423379629632</v>
      </c>
      <c r="Z13" s="18" t="s">
        <v>173</v>
      </c>
      <c r="AA13" s="18">
        <v>43845</v>
      </c>
      <c r="AB13" s="18">
        <v>43921</v>
      </c>
      <c r="AC13" s="4" t="s">
        <v>199</v>
      </c>
      <c r="AD13" s="61" t="s">
        <v>276</v>
      </c>
      <c r="AE13" s="5">
        <v>44477.389270833337</v>
      </c>
      <c r="AF13" s="6" t="s">
        <v>173</v>
      </c>
      <c r="AG13" s="18">
        <v>43910</v>
      </c>
      <c r="AH13" s="4" t="s">
        <v>200</v>
      </c>
      <c r="AI13" s="18">
        <v>43917</v>
      </c>
      <c r="AJ13" s="4" t="s">
        <v>201</v>
      </c>
      <c r="AK13" s="18">
        <v>43922</v>
      </c>
      <c r="AL13" s="61" t="s">
        <v>276</v>
      </c>
      <c r="AM13" s="5">
        <v>44477.389305555553</v>
      </c>
      <c r="AN13" s="6" t="s">
        <v>173</v>
      </c>
      <c r="AO13" s="18">
        <v>43926</v>
      </c>
      <c r="AP13" s="61" t="s">
        <v>276</v>
      </c>
      <c r="AQ13" s="5">
        <v>44477.389328703706</v>
      </c>
      <c r="AR13" s="6" t="s">
        <v>173</v>
      </c>
      <c r="AS13" s="18">
        <v>43983</v>
      </c>
      <c r="AT13" s="18">
        <v>44440</v>
      </c>
      <c r="AU13" s="18">
        <v>44228</v>
      </c>
      <c r="AV13" s="18">
        <v>44012</v>
      </c>
      <c r="AW13" s="60" t="s">
        <v>276</v>
      </c>
      <c r="AX13" s="4" t="s">
        <v>202</v>
      </c>
      <c r="AY13" s="18">
        <v>43831</v>
      </c>
      <c r="AZ13" s="18">
        <v>43856</v>
      </c>
      <c r="BA13" s="60" t="s">
        <v>276</v>
      </c>
      <c r="BB13" s="18">
        <v>43850</v>
      </c>
      <c r="BC13" s="18">
        <v>43854</v>
      </c>
      <c r="BD13" s="60" t="s">
        <v>276</v>
      </c>
      <c r="BE13" s="4"/>
      <c r="BF13" s="4"/>
      <c r="BG13" s="4"/>
      <c r="BH13" s="4" t="s">
        <v>279</v>
      </c>
      <c r="BI13" s="18">
        <v>44045</v>
      </c>
      <c r="BJ13" s="18">
        <v>43831</v>
      </c>
      <c r="BK13" s="62" t="s">
        <v>278</v>
      </c>
      <c r="BL13" s="5">
        <v>44478.208784722221</v>
      </c>
      <c r="BM13" s="6" t="s">
        <v>173</v>
      </c>
      <c r="BN13" s="18">
        <v>43983</v>
      </c>
      <c r="BO13" s="18">
        <v>43956</v>
      </c>
      <c r="BP13" s="18">
        <v>44083</v>
      </c>
      <c r="BQ13" s="60" t="s">
        <v>276</v>
      </c>
      <c r="BR13" s="18">
        <v>44013</v>
      </c>
      <c r="BS13" s="18">
        <v>44017</v>
      </c>
      <c r="BT13" s="18">
        <v>44044</v>
      </c>
      <c r="BU13" s="60" t="s">
        <v>276</v>
      </c>
      <c r="BV13" s="4"/>
      <c r="BW13" s="4"/>
      <c r="BX13" s="4"/>
      <c r="BY13" s="4"/>
      <c r="BZ13" s="4"/>
      <c r="CA13" s="4"/>
      <c r="CB13" s="4"/>
      <c r="CC13" s="4"/>
      <c r="CD13" s="4"/>
      <c r="CE13" s="4"/>
      <c r="CF13" s="4"/>
      <c r="CG13" s="4"/>
      <c r="CH13" s="4"/>
      <c r="CI13" s="4"/>
      <c r="CJ13" s="4"/>
      <c r="CK13" s="4"/>
      <c r="CL13" s="4"/>
      <c r="CM13" s="4"/>
      <c r="CN13" s="4"/>
      <c r="CO13" s="4"/>
      <c r="CP13" s="4"/>
      <c r="CQ13" s="5">
        <v>44477.389490740738</v>
      </c>
      <c r="CR13" s="6" t="s">
        <v>173</v>
      </c>
      <c r="CS13" s="18">
        <v>44044</v>
      </c>
      <c r="CT13" s="18">
        <v>44058</v>
      </c>
      <c r="CU13" s="18">
        <v>44075</v>
      </c>
      <c r="CV13" s="60" t="s">
        <v>276</v>
      </c>
      <c r="CW13" s="18">
        <v>44079</v>
      </c>
      <c r="CX13" s="60" t="s">
        <v>276</v>
      </c>
      <c r="CY13" s="18">
        <v>44044</v>
      </c>
      <c r="CZ13" s="18">
        <v>44104</v>
      </c>
      <c r="DA13" s="60" t="s">
        <v>276</v>
      </c>
      <c r="DB13" s="5">
        <v>44477.389652777776</v>
      </c>
      <c r="DC13" s="6" t="s">
        <v>173</v>
      </c>
      <c r="DD13" s="18">
        <v>44136</v>
      </c>
      <c r="DE13" s="18">
        <v>44136</v>
      </c>
      <c r="DF13" s="18">
        <v>44197</v>
      </c>
      <c r="DG13" s="61" t="s">
        <v>276</v>
      </c>
      <c r="DH13" s="5">
        <v>44477.389525462961</v>
      </c>
      <c r="DI13" s="6" t="s">
        <v>173</v>
      </c>
      <c r="DJ13" s="18">
        <v>43952</v>
      </c>
      <c r="DK13" s="18">
        <v>43954</v>
      </c>
      <c r="DL13" s="18">
        <v>43955</v>
      </c>
      <c r="DM13" s="18">
        <v>43957</v>
      </c>
      <c r="DN13" s="18">
        <v>43957</v>
      </c>
      <c r="DO13" s="18">
        <v>43958</v>
      </c>
      <c r="DP13" s="18">
        <v>43959</v>
      </c>
      <c r="DQ13" s="61" t="s">
        <v>276</v>
      </c>
      <c r="DR13" s="5">
        <v>44477.389594907407</v>
      </c>
      <c r="DS13" s="6" t="s">
        <v>173</v>
      </c>
      <c r="DT13" s="18">
        <v>44124</v>
      </c>
      <c r="DU13" s="61" t="s">
        <v>276</v>
      </c>
      <c r="DV13" s="5">
        <v>44477.389687499999</v>
      </c>
      <c r="DW13" s="6" t="s">
        <v>173</v>
      </c>
      <c r="DX13" s="18">
        <v>44593</v>
      </c>
      <c r="DY13" s="61" t="s">
        <v>276</v>
      </c>
      <c r="DZ13" s="5">
        <v>44477.389756944445</v>
      </c>
      <c r="EA13" s="6" t="s">
        <v>173</v>
      </c>
      <c r="EB13" s="6" t="b">
        <v>1</v>
      </c>
      <c r="EC13" s="6" t="b">
        <v>1</v>
      </c>
      <c r="ED13" s="6" t="b">
        <v>1</v>
      </c>
      <c r="EE13" s="6" t="b">
        <v>1</v>
      </c>
      <c r="EF13" s="6" t="b">
        <v>0</v>
      </c>
      <c r="EG13" s="6" t="b">
        <v>1</v>
      </c>
      <c r="EH13" s="6" t="b">
        <v>1</v>
      </c>
      <c r="EI13" s="6" t="b">
        <v>1</v>
      </c>
      <c r="EJ13" s="6"/>
      <c r="EK13" s="6" t="b">
        <v>1</v>
      </c>
      <c r="EL13" s="6" t="b">
        <v>1</v>
      </c>
      <c r="EM13" s="6" t="b">
        <v>1</v>
      </c>
      <c r="EN13" s="6"/>
      <c r="EO13" s="6"/>
      <c r="EP13" s="6"/>
      <c r="EQ13" s="6"/>
      <c r="ER13" s="6"/>
      <c r="ES13" s="6" t="b">
        <v>1</v>
      </c>
      <c r="ET13" s="6" t="b">
        <v>1</v>
      </c>
      <c r="EU13" s="6" t="b">
        <v>1</v>
      </c>
      <c r="EV13" s="6" t="b">
        <v>1</v>
      </c>
      <c r="EW13" s="6" t="b">
        <v>1</v>
      </c>
      <c r="EX13" s="6" t="b">
        <v>1</v>
      </c>
      <c r="EY13" s="6" t="b">
        <v>1</v>
      </c>
      <c r="EZ13" s="15" t="b">
        <f>IF(COUNTA(Register[[#This Row],[Ethics - CAHS Complete]:[Ethics - Others Complete]])=0, "",IF(COUNTIF(Register[[#This Row],[Ethics - CAHS Complete]:[Ethics - Others Complete]],TRUE)&gt;0,TRUE,FALSE))</f>
        <v>1</v>
      </c>
      <c r="FA13" s="6" t="b">
        <f>IF(COUNTA(Register[[#This Row],[Gov - PCH Complete]:[Gov - Others Complete]])=0,"",IF(COUNTIF(Register[[#This Row],[Gov - PCH Complete]:[Gov - Others Complete]],TRUE)&gt;0,TRUE,FALSE))</f>
        <v>1</v>
      </c>
      <c r="FB13" s="6" t="b">
        <f>IF(COUNTA(Register[[#This Row],[Budget - VTG Complete]:[Budget - Pharmacy Complete]])=0,"",IF(COUNTIF(Register[[#This Row],[Budget - VTG Complete]:[Budget - Pharmacy Complete]],TRUE)=3,TRUE,FALSE))</f>
        <v>1</v>
      </c>
      <c r="FC13"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3" s="15">
        <f t="array" ref="FD13">IFERROR(MATCH(FALSE,Register[[#This Row],[Study Details Complete]:[SIV Complete]],0),IFERROR(MATCH(TRUE,ISBLANK(Register[[#This Row],[Study Details Complete]:[SIV Complete]]),0),1))</f>
        <v>5</v>
      </c>
    </row>
    <row r="14" spans="1:160" x14ac:dyDescent="0.25">
      <c r="D14" s="5">
        <v>44478.209004629629</v>
      </c>
      <c r="E14" s="6" t="s">
        <v>173</v>
      </c>
      <c r="F14" s="5"/>
      <c r="G14" s="6"/>
      <c r="H14" s="5">
        <v>44479.492835648147</v>
      </c>
      <c r="I14" s="6" t="s">
        <v>173</v>
      </c>
      <c r="J14" s="4" t="s">
        <v>174</v>
      </c>
      <c r="K14" s="4"/>
      <c r="L14" s="4" t="s">
        <v>280</v>
      </c>
      <c r="M14" s="4" t="s">
        <v>177</v>
      </c>
      <c r="N14" s="4"/>
      <c r="O14" s="4"/>
      <c r="P14" s="59" t="s">
        <v>278</v>
      </c>
      <c r="Q14" s="5">
        <v>44478.25167824074</v>
      </c>
      <c r="R14" s="6" t="s">
        <v>173</v>
      </c>
      <c r="S14" s="18">
        <v>43831</v>
      </c>
      <c r="T14" s="18"/>
      <c r="U14" s="18"/>
      <c r="V14" s="18"/>
      <c r="W14" s="18"/>
      <c r="X14" s="60" t="s">
        <v>278</v>
      </c>
      <c r="Y14" s="18">
        <v>44478.209236111114</v>
      </c>
      <c r="Z14" s="18" t="s">
        <v>173</v>
      </c>
      <c r="AA14" s="18">
        <v>43831</v>
      </c>
      <c r="AB14" s="18"/>
      <c r="AC14" s="18"/>
      <c r="AD14" s="61" t="s">
        <v>278</v>
      </c>
      <c r="AE14" s="5">
        <v>44478.209305555552</v>
      </c>
      <c r="AF14" s="6" t="s">
        <v>173</v>
      </c>
      <c r="AG14" s="18">
        <v>43831</v>
      </c>
      <c r="AH14" s="4" t="s">
        <v>200</v>
      </c>
      <c r="AI14" s="18"/>
      <c r="AJ14" s="4"/>
      <c r="AK14" s="18"/>
      <c r="AL14" s="61" t="s">
        <v>278</v>
      </c>
      <c r="AM14" s="5">
        <v>44478.209409722222</v>
      </c>
      <c r="AN14" s="6" t="s">
        <v>173</v>
      </c>
      <c r="AO14" s="18"/>
      <c r="AP14" s="61" t="s">
        <v>278</v>
      </c>
      <c r="AQ14" s="5">
        <v>44478.237291666665</v>
      </c>
      <c r="AR14" s="6" t="s">
        <v>173</v>
      </c>
      <c r="AS14" s="18"/>
      <c r="AT14" s="18"/>
      <c r="AU14" s="18"/>
      <c r="AV14" s="18"/>
      <c r="AW14" s="60" t="s">
        <v>278</v>
      </c>
      <c r="AX14" s="4"/>
      <c r="AY14" s="18"/>
      <c r="AZ14" s="18"/>
      <c r="BA14" s="60" t="s">
        <v>278</v>
      </c>
      <c r="BB14" s="18"/>
      <c r="BC14" s="18"/>
      <c r="BD14" s="60" t="s">
        <v>278</v>
      </c>
      <c r="BE14" s="18"/>
      <c r="BF14" s="18"/>
      <c r="BG14" s="62" t="s">
        <v>278</v>
      </c>
      <c r="BH14" s="4"/>
      <c r="BI14" s="18"/>
      <c r="BJ14" s="4"/>
      <c r="BK14" s="62" t="s">
        <v>278</v>
      </c>
      <c r="BL14" s="5">
        <v>44478.252152777779</v>
      </c>
      <c r="BM14" s="6" t="s">
        <v>173</v>
      </c>
      <c r="BN14" s="18"/>
      <c r="BO14" s="18"/>
      <c r="BP14" s="18"/>
      <c r="BQ14" s="60" t="s">
        <v>278</v>
      </c>
      <c r="BR14" s="18"/>
      <c r="BS14" s="18"/>
      <c r="BT14" s="18"/>
      <c r="BU14" s="60" t="s">
        <v>278</v>
      </c>
      <c r="BV14" s="4"/>
      <c r="BW14" s="4"/>
      <c r="BX14" s="4"/>
      <c r="BY14" s="62" t="s">
        <v>278</v>
      </c>
      <c r="BZ14" s="4"/>
      <c r="CA14" s="4"/>
      <c r="CB14" s="4"/>
      <c r="CC14" s="62" t="s">
        <v>278</v>
      </c>
      <c r="CD14" s="4"/>
      <c r="CE14" s="4"/>
      <c r="CF14" s="18"/>
      <c r="CG14" s="62" t="s">
        <v>278</v>
      </c>
      <c r="CH14" s="4"/>
      <c r="CI14" s="4"/>
      <c r="CJ14" s="4"/>
      <c r="CK14" s="62" t="s">
        <v>278</v>
      </c>
      <c r="CL14" s="4"/>
      <c r="CM14" s="4"/>
      <c r="CN14" s="4"/>
      <c r="CO14" s="4"/>
      <c r="CP14" s="62" t="s">
        <v>278</v>
      </c>
      <c r="CQ14" s="5">
        <v>44478.252303240741</v>
      </c>
      <c r="CR14" s="6" t="s">
        <v>173</v>
      </c>
      <c r="CS14" s="18"/>
      <c r="CT14" s="18"/>
      <c r="CU14" s="18"/>
      <c r="CV14" s="60" t="s">
        <v>278</v>
      </c>
      <c r="CW14" s="18"/>
      <c r="CX14" s="60" t="s">
        <v>278</v>
      </c>
      <c r="CY14" s="18"/>
      <c r="CZ14" s="18"/>
      <c r="DA14" s="60" t="s">
        <v>278</v>
      </c>
      <c r="DB14" s="5">
        <v>44478.252418981479</v>
      </c>
      <c r="DC14" s="6" t="s">
        <v>173</v>
      </c>
      <c r="DD14" s="18"/>
      <c r="DE14" s="18"/>
      <c r="DF14" s="18"/>
      <c r="DG14" s="61" t="s">
        <v>278</v>
      </c>
      <c r="DH14" s="5">
        <v>44478.252349537041</v>
      </c>
      <c r="DI14" s="6" t="s">
        <v>173</v>
      </c>
      <c r="DJ14" s="18"/>
      <c r="DK14" s="18"/>
      <c r="DL14" s="18"/>
      <c r="DM14" s="18"/>
      <c r="DN14" s="18"/>
      <c r="DO14" s="18"/>
      <c r="DP14" s="18"/>
      <c r="DQ14" s="61" t="s">
        <v>278</v>
      </c>
      <c r="DR14" s="5">
        <v>44478.252442129633</v>
      </c>
      <c r="DS14" s="6" t="s">
        <v>173</v>
      </c>
      <c r="DT14" s="18"/>
      <c r="DU14" s="61" t="s">
        <v>278</v>
      </c>
      <c r="DV14" s="5">
        <v>44478.252465277779</v>
      </c>
      <c r="DW14" s="6" t="s">
        <v>173</v>
      </c>
      <c r="DX14" s="18"/>
      <c r="DY14" s="61" t="s">
        <v>278</v>
      </c>
      <c r="DZ14" s="5">
        <v>44478.252511574072</v>
      </c>
      <c r="EA14" s="6" t="s">
        <v>173</v>
      </c>
      <c r="EB14" s="15" t="b">
        <v>0</v>
      </c>
      <c r="EC14" s="15" t="b">
        <v>0</v>
      </c>
      <c r="ED14" s="15" t="b">
        <v>0</v>
      </c>
      <c r="EE14" s="15" t="b">
        <v>0</v>
      </c>
      <c r="EF14" s="15" t="b">
        <v>0</v>
      </c>
      <c r="EG14" s="15" t="b">
        <v>0</v>
      </c>
      <c r="EH14" s="6" t="b">
        <v>0</v>
      </c>
      <c r="EI14" s="6" t="b">
        <v>0</v>
      </c>
      <c r="EJ14" s="6" t="b">
        <v>0</v>
      </c>
      <c r="EK14" s="6" t="b">
        <v>0</v>
      </c>
      <c r="EL14" s="6" t="b">
        <v>0</v>
      </c>
      <c r="EM14" s="6" t="b">
        <v>0</v>
      </c>
      <c r="EN14" s="6" t="b">
        <v>0</v>
      </c>
      <c r="EO14" s="6" t="b">
        <v>0</v>
      </c>
      <c r="EP14" s="6" t="b">
        <v>0</v>
      </c>
      <c r="EQ14" s="6" t="b">
        <v>0</v>
      </c>
      <c r="ER14" s="6" t="b">
        <v>0</v>
      </c>
      <c r="ES14" s="6" t="b">
        <v>0</v>
      </c>
      <c r="ET14" s="6" t="b">
        <v>0</v>
      </c>
      <c r="EU14" s="6" t="b">
        <v>0</v>
      </c>
      <c r="EV14" s="6" t="b">
        <v>0</v>
      </c>
      <c r="EW14" s="6" t="b">
        <v>0</v>
      </c>
      <c r="EX14" s="6" t="b">
        <v>0</v>
      </c>
      <c r="EY14" s="6" t="b">
        <v>0</v>
      </c>
      <c r="EZ14" s="15" t="b">
        <f>IF(COUNTA(Register[[#This Row],[Ethics - CAHS Complete]:[Ethics - Others Complete]])=0, "",IF(COUNTIF(Register[[#This Row],[Ethics - CAHS Complete]:[Ethics - Others Complete]],TRUE)&gt;0,TRUE,FALSE))</f>
        <v>0</v>
      </c>
      <c r="FA14" s="15" t="b">
        <f>IF(COUNTA(Register[[#This Row],[Gov - PCH Complete]:[Gov - Others Complete]])=0,"",IF(COUNTIF(Register[[#This Row],[Gov - PCH Complete]:[Gov - Others Complete]],TRUE)&gt;0,TRUE,FALSE))</f>
        <v>0</v>
      </c>
      <c r="FB14" s="15" t="b">
        <f>IF(COUNTA(Register[[#This Row],[Budget - VTG Complete]:[Budget - Pharmacy Complete]])=0,"",IF(COUNTIF(Register[[#This Row],[Budget - VTG Complete]:[Budget - Pharmacy Complete]],TRUE)=3,TRUE,FALSE))</f>
        <v>0</v>
      </c>
      <c r="FC14"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4" s="15">
        <f t="array" ref="FD14">IFERROR(MATCH(FALSE,Register[[#This Row],[Study Details Complete]:[SIV Complete]],0),IFERROR(MATCH(TRUE,ISBLANK(Register[[#This Row],[Study Details Complete]:[SIV Complete]]),0),1))</f>
        <v>1</v>
      </c>
    </row>
    <row r="15" spans="1:160" x14ac:dyDescent="0.25">
      <c r="D15" s="5">
        <v>44452.381851851853</v>
      </c>
      <c r="E15" s="6" t="s">
        <v>173</v>
      </c>
      <c r="F15" s="5"/>
      <c r="G15" s="6"/>
      <c r="H15" s="5">
        <v>44478.251574074071</v>
      </c>
      <c r="I15" s="6" t="s">
        <v>173</v>
      </c>
      <c r="J15" s="4" t="s">
        <v>174</v>
      </c>
      <c r="K15" s="4" t="s">
        <v>194</v>
      </c>
      <c r="L15" s="4" t="s">
        <v>195</v>
      </c>
      <c r="M15" s="4" t="s">
        <v>196</v>
      </c>
      <c r="N15" s="4" t="s">
        <v>197</v>
      </c>
      <c r="O15" s="4" t="s">
        <v>198</v>
      </c>
      <c r="P15" s="59" t="s">
        <v>278</v>
      </c>
      <c r="Q15" s="5">
        <v>44478.251539351855</v>
      </c>
      <c r="R15" s="6" t="s">
        <v>173</v>
      </c>
      <c r="S15" s="18">
        <v>43840</v>
      </c>
      <c r="T15" s="18">
        <v>43842</v>
      </c>
      <c r="U15" s="18">
        <v>43863</v>
      </c>
      <c r="V15" s="18">
        <v>43891</v>
      </c>
      <c r="W15" s="18">
        <v>43921</v>
      </c>
      <c r="X15" s="60" t="s">
        <v>278</v>
      </c>
      <c r="Y15" s="18">
        <v>44477.423379629632</v>
      </c>
      <c r="Z15" s="18" t="s">
        <v>173</v>
      </c>
      <c r="AA15" s="18">
        <v>43845</v>
      </c>
      <c r="AB15" s="18">
        <v>43921</v>
      </c>
      <c r="AC15" s="4" t="s">
        <v>199</v>
      </c>
      <c r="AD15" s="61" t="s">
        <v>276</v>
      </c>
      <c r="AE15" s="5">
        <v>44477.389270833337</v>
      </c>
      <c r="AF15" s="6" t="s">
        <v>173</v>
      </c>
      <c r="AG15" s="18">
        <v>43910</v>
      </c>
      <c r="AH15" s="4" t="s">
        <v>200</v>
      </c>
      <c r="AI15" s="18">
        <v>43917</v>
      </c>
      <c r="AJ15" s="4" t="s">
        <v>201</v>
      </c>
      <c r="AK15" s="18">
        <v>43922</v>
      </c>
      <c r="AL15" s="61" t="s">
        <v>276</v>
      </c>
      <c r="AM15" s="5">
        <v>44477.389305555553</v>
      </c>
      <c r="AN15" s="6" t="s">
        <v>173</v>
      </c>
      <c r="AO15" s="18">
        <v>43926</v>
      </c>
      <c r="AP15" s="61" t="s">
        <v>276</v>
      </c>
      <c r="AQ15" s="5">
        <v>44477.389328703706</v>
      </c>
      <c r="AR15" s="6" t="s">
        <v>173</v>
      </c>
      <c r="AS15" s="18">
        <v>43983</v>
      </c>
      <c r="AT15" s="18">
        <v>44440</v>
      </c>
      <c r="AU15" s="18">
        <v>44228</v>
      </c>
      <c r="AV15" s="18">
        <v>44012</v>
      </c>
      <c r="AW15" s="60" t="s">
        <v>276</v>
      </c>
      <c r="AX15" s="4" t="s">
        <v>202</v>
      </c>
      <c r="AY15" s="18">
        <v>43831</v>
      </c>
      <c r="AZ15" s="18">
        <v>43856</v>
      </c>
      <c r="BA15" s="60" t="s">
        <v>276</v>
      </c>
      <c r="BB15" s="18">
        <v>43850</v>
      </c>
      <c r="BC15" s="18">
        <v>43854</v>
      </c>
      <c r="BD15" s="60" t="s">
        <v>276</v>
      </c>
      <c r="BE15" s="4"/>
      <c r="BF15" s="4"/>
      <c r="BG15" s="4"/>
      <c r="BH15" s="4" t="s">
        <v>279</v>
      </c>
      <c r="BI15" s="18">
        <v>44045</v>
      </c>
      <c r="BJ15" s="18">
        <v>43831</v>
      </c>
      <c r="BK15" s="62" t="s">
        <v>278</v>
      </c>
      <c r="BL15" s="5">
        <v>44478.208784722221</v>
      </c>
      <c r="BM15" s="6" t="s">
        <v>173</v>
      </c>
      <c r="BN15" s="18">
        <v>43983</v>
      </c>
      <c r="BO15" s="18">
        <v>43956</v>
      </c>
      <c r="BP15" s="18">
        <v>44083</v>
      </c>
      <c r="BQ15" s="60" t="s">
        <v>276</v>
      </c>
      <c r="BR15" s="18">
        <v>44013</v>
      </c>
      <c r="BS15" s="18">
        <v>44017</v>
      </c>
      <c r="BT15" s="18">
        <v>44044</v>
      </c>
      <c r="BU15" s="60" t="s">
        <v>276</v>
      </c>
      <c r="BV15" s="4"/>
      <c r="BW15" s="4"/>
      <c r="BX15" s="4"/>
      <c r="BY15" s="4"/>
      <c r="BZ15" s="4"/>
      <c r="CA15" s="4"/>
      <c r="CB15" s="4"/>
      <c r="CC15" s="4"/>
      <c r="CD15" s="4"/>
      <c r="CE15" s="4"/>
      <c r="CF15" s="4"/>
      <c r="CG15" s="4"/>
      <c r="CH15" s="4"/>
      <c r="CI15" s="4"/>
      <c r="CJ15" s="4"/>
      <c r="CK15" s="4"/>
      <c r="CL15" s="4"/>
      <c r="CM15" s="4"/>
      <c r="CN15" s="4"/>
      <c r="CO15" s="4"/>
      <c r="CP15" s="4"/>
      <c r="CQ15" s="5">
        <v>44477.389490740738</v>
      </c>
      <c r="CR15" s="6" t="s">
        <v>173</v>
      </c>
      <c r="CS15" s="18">
        <v>44044</v>
      </c>
      <c r="CT15" s="18">
        <v>44058</v>
      </c>
      <c r="CU15" s="18">
        <v>44075</v>
      </c>
      <c r="CV15" s="60" t="s">
        <v>276</v>
      </c>
      <c r="CW15" s="18">
        <v>44079</v>
      </c>
      <c r="CX15" s="60" t="s">
        <v>276</v>
      </c>
      <c r="CY15" s="18">
        <v>44044</v>
      </c>
      <c r="CZ15" s="18">
        <v>44104</v>
      </c>
      <c r="DA15" s="60" t="s">
        <v>276</v>
      </c>
      <c r="DB15" s="5">
        <v>44477.389652777776</v>
      </c>
      <c r="DC15" s="6" t="s">
        <v>173</v>
      </c>
      <c r="DD15" s="18">
        <v>44136</v>
      </c>
      <c r="DE15" s="18">
        <v>44136</v>
      </c>
      <c r="DF15" s="18">
        <v>44197</v>
      </c>
      <c r="DG15" s="61" t="s">
        <v>276</v>
      </c>
      <c r="DH15" s="5">
        <v>44477.389525462961</v>
      </c>
      <c r="DI15" s="6" t="s">
        <v>173</v>
      </c>
      <c r="DJ15" s="18">
        <v>43952</v>
      </c>
      <c r="DK15" s="18">
        <v>43954</v>
      </c>
      <c r="DL15" s="18">
        <v>43955</v>
      </c>
      <c r="DM15" s="18">
        <v>43957</v>
      </c>
      <c r="DN15" s="18">
        <v>43957</v>
      </c>
      <c r="DO15" s="18">
        <v>43958</v>
      </c>
      <c r="DP15" s="18">
        <v>43959</v>
      </c>
      <c r="DQ15" s="61" t="s">
        <v>276</v>
      </c>
      <c r="DR15" s="5">
        <v>44477.389594907407</v>
      </c>
      <c r="DS15" s="6" t="s">
        <v>173</v>
      </c>
      <c r="DT15" s="18">
        <v>44124</v>
      </c>
      <c r="DU15" s="61" t="s">
        <v>276</v>
      </c>
      <c r="DV15" s="5">
        <v>44477.389687499999</v>
      </c>
      <c r="DW15" s="6" t="s">
        <v>173</v>
      </c>
      <c r="DX15" s="18">
        <v>44593</v>
      </c>
      <c r="DY15" s="61" t="s">
        <v>276</v>
      </c>
      <c r="DZ15" s="5">
        <v>44477.389756944445</v>
      </c>
      <c r="EA15" s="6" t="s">
        <v>173</v>
      </c>
      <c r="EB15" s="6" t="b">
        <v>1</v>
      </c>
      <c r="EC15" s="6" t="b">
        <v>1</v>
      </c>
      <c r="ED15" s="6" t="b">
        <v>1</v>
      </c>
      <c r="EE15" s="6" t="b">
        <v>1</v>
      </c>
      <c r="EF15" s="6" t="b">
        <v>0</v>
      </c>
      <c r="EG15" s="6" t="b">
        <v>1</v>
      </c>
      <c r="EH15" s="6" t="b">
        <v>1</v>
      </c>
      <c r="EI15" s="6" t="b">
        <v>1</v>
      </c>
      <c r="EJ15" s="6"/>
      <c r="EK15" s="6" t="b">
        <v>1</v>
      </c>
      <c r="EL15" s="6" t="b">
        <v>1</v>
      </c>
      <c r="EM15" s="6" t="b">
        <v>1</v>
      </c>
      <c r="EN15" s="6"/>
      <c r="EO15" s="6"/>
      <c r="EP15" s="6"/>
      <c r="EQ15" s="6"/>
      <c r="ER15" s="6"/>
      <c r="ES15" s="6" t="b">
        <v>1</v>
      </c>
      <c r="ET15" s="6" t="b">
        <v>1</v>
      </c>
      <c r="EU15" s="6" t="b">
        <v>1</v>
      </c>
      <c r="EV15" s="6" t="b">
        <v>1</v>
      </c>
      <c r="EW15" s="6" t="b">
        <v>1</v>
      </c>
      <c r="EX15" s="6" t="b">
        <v>1</v>
      </c>
      <c r="EY15" s="6" t="b">
        <v>1</v>
      </c>
      <c r="EZ15" s="15" t="b">
        <f>IF(COUNTA(Register[[#This Row],[Ethics - CAHS Complete]:[Ethics - Others Complete]])=0, "",IF(COUNTIF(Register[[#This Row],[Ethics - CAHS Complete]:[Ethics - Others Complete]],TRUE)&gt;0,TRUE,FALSE))</f>
        <v>1</v>
      </c>
      <c r="FA15" s="6" t="b">
        <f>IF(COUNTA(Register[[#This Row],[Gov - PCH Complete]:[Gov - Others Complete]])=0,"",IF(COUNTIF(Register[[#This Row],[Gov - PCH Complete]:[Gov - Others Complete]],TRUE)&gt;0,TRUE,FALSE))</f>
        <v>1</v>
      </c>
      <c r="FB15" s="6" t="b">
        <f>IF(COUNTA(Register[[#This Row],[Budget - VTG Complete]:[Budget - Pharmacy Complete]])=0,"",IF(COUNTIF(Register[[#This Row],[Budget - VTG Complete]:[Budget - Pharmacy Complete]],TRUE)=3,TRUE,FALSE))</f>
        <v>1</v>
      </c>
      <c r="FC15"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5" s="15">
        <f t="array" ref="FD15">IFERROR(MATCH(FALSE,Register[[#This Row],[Study Details Complete]:[SIV Complete]],0),IFERROR(MATCH(TRUE,ISBLANK(Register[[#This Row],[Study Details Complete]:[SIV Complete]]),0),1))</f>
        <v>5</v>
      </c>
    </row>
    <row r="16" spans="1:160" x14ac:dyDescent="0.25">
      <c r="D16" s="5">
        <v>44478.209004629629</v>
      </c>
      <c r="E16" s="6" t="s">
        <v>173</v>
      </c>
      <c r="F16" s="5"/>
      <c r="G16" s="6"/>
      <c r="H16" s="5">
        <v>44478.252511574072</v>
      </c>
      <c r="I16" s="6" t="s">
        <v>173</v>
      </c>
      <c r="J16" s="4" t="s">
        <v>174</v>
      </c>
      <c r="K16" s="4"/>
      <c r="L16" s="4" t="s">
        <v>280</v>
      </c>
      <c r="M16" s="4" t="s">
        <v>177</v>
      </c>
      <c r="N16" s="4"/>
      <c r="O16" s="4"/>
      <c r="P16" s="59" t="s">
        <v>278</v>
      </c>
      <c r="Q16" s="5">
        <v>44478.25167824074</v>
      </c>
      <c r="R16" s="6" t="s">
        <v>173</v>
      </c>
      <c r="S16" s="18">
        <v>43831</v>
      </c>
      <c r="T16" s="18"/>
      <c r="U16" s="18"/>
      <c r="V16" s="18"/>
      <c r="W16" s="18"/>
      <c r="X16" s="60" t="s">
        <v>278</v>
      </c>
      <c r="Y16" s="18">
        <v>44478.209236111114</v>
      </c>
      <c r="Z16" s="18" t="s">
        <v>173</v>
      </c>
      <c r="AA16" s="18">
        <v>43831</v>
      </c>
      <c r="AB16" s="18"/>
      <c r="AC16" s="18"/>
      <c r="AD16" s="61" t="s">
        <v>278</v>
      </c>
      <c r="AE16" s="5">
        <v>44478.209305555552</v>
      </c>
      <c r="AF16" s="6" t="s">
        <v>173</v>
      </c>
      <c r="AG16" s="18">
        <v>43831</v>
      </c>
      <c r="AH16" s="4" t="s">
        <v>200</v>
      </c>
      <c r="AI16" s="18"/>
      <c r="AJ16" s="4"/>
      <c r="AK16" s="18"/>
      <c r="AL16" s="61" t="s">
        <v>278</v>
      </c>
      <c r="AM16" s="5">
        <v>44478.209409722222</v>
      </c>
      <c r="AN16" s="6" t="s">
        <v>173</v>
      </c>
      <c r="AO16" s="18"/>
      <c r="AP16" s="61" t="s">
        <v>278</v>
      </c>
      <c r="AQ16" s="5">
        <v>44478.237291666665</v>
      </c>
      <c r="AR16" s="6" t="s">
        <v>173</v>
      </c>
      <c r="AS16" s="18"/>
      <c r="AT16" s="18"/>
      <c r="AU16" s="18"/>
      <c r="AV16" s="18"/>
      <c r="AW16" s="60" t="s">
        <v>278</v>
      </c>
      <c r="AX16" s="4"/>
      <c r="AY16" s="18"/>
      <c r="AZ16" s="18"/>
      <c r="BA16" s="60" t="s">
        <v>278</v>
      </c>
      <c r="BB16" s="18"/>
      <c r="BC16" s="18"/>
      <c r="BD16" s="60" t="s">
        <v>278</v>
      </c>
      <c r="BE16" s="18"/>
      <c r="BF16" s="18"/>
      <c r="BG16" s="62" t="s">
        <v>278</v>
      </c>
      <c r="BH16" s="4"/>
      <c r="BI16" s="18"/>
      <c r="BJ16" s="4"/>
      <c r="BK16" s="62" t="s">
        <v>278</v>
      </c>
      <c r="BL16" s="5">
        <v>44478.252152777779</v>
      </c>
      <c r="BM16" s="6" t="s">
        <v>173</v>
      </c>
      <c r="BN16" s="18"/>
      <c r="BO16" s="18"/>
      <c r="BP16" s="18"/>
      <c r="BQ16" s="60" t="s">
        <v>278</v>
      </c>
      <c r="BR16" s="18"/>
      <c r="BS16" s="18"/>
      <c r="BT16" s="18"/>
      <c r="BU16" s="60" t="s">
        <v>278</v>
      </c>
      <c r="BV16" s="4"/>
      <c r="BW16" s="4"/>
      <c r="BX16" s="4"/>
      <c r="BY16" s="62" t="s">
        <v>278</v>
      </c>
      <c r="BZ16" s="4"/>
      <c r="CA16" s="4"/>
      <c r="CB16" s="4"/>
      <c r="CC16" s="62" t="s">
        <v>278</v>
      </c>
      <c r="CD16" s="4"/>
      <c r="CE16" s="4"/>
      <c r="CF16" s="18"/>
      <c r="CG16" s="62" t="s">
        <v>278</v>
      </c>
      <c r="CH16" s="4"/>
      <c r="CI16" s="4"/>
      <c r="CJ16" s="4"/>
      <c r="CK16" s="62" t="s">
        <v>278</v>
      </c>
      <c r="CL16" s="4"/>
      <c r="CM16" s="4"/>
      <c r="CN16" s="4"/>
      <c r="CO16" s="4"/>
      <c r="CP16" s="62" t="s">
        <v>278</v>
      </c>
      <c r="CQ16" s="5">
        <v>44478.252303240741</v>
      </c>
      <c r="CR16" s="6" t="s">
        <v>173</v>
      </c>
      <c r="CS16" s="18"/>
      <c r="CT16" s="18"/>
      <c r="CU16" s="18"/>
      <c r="CV16" s="60" t="s">
        <v>278</v>
      </c>
      <c r="CW16" s="18"/>
      <c r="CX16" s="60" t="s">
        <v>278</v>
      </c>
      <c r="CY16" s="18"/>
      <c r="CZ16" s="18"/>
      <c r="DA16" s="60" t="s">
        <v>278</v>
      </c>
      <c r="DB16" s="5">
        <v>44478.252418981479</v>
      </c>
      <c r="DC16" s="6" t="s">
        <v>173</v>
      </c>
      <c r="DD16" s="18"/>
      <c r="DE16" s="18"/>
      <c r="DF16" s="18"/>
      <c r="DG16" s="61" t="s">
        <v>278</v>
      </c>
      <c r="DH16" s="5">
        <v>44478.252349537041</v>
      </c>
      <c r="DI16" s="6" t="s">
        <v>173</v>
      </c>
      <c r="DJ16" s="18"/>
      <c r="DK16" s="18"/>
      <c r="DL16" s="18"/>
      <c r="DM16" s="18"/>
      <c r="DN16" s="18"/>
      <c r="DO16" s="18"/>
      <c r="DP16" s="18"/>
      <c r="DQ16" s="61" t="s">
        <v>278</v>
      </c>
      <c r="DR16" s="5">
        <v>44478.252442129633</v>
      </c>
      <c r="DS16" s="6" t="s">
        <v>173</v>
      </c>
      <c r="DT16" s="18"/>
      <c r="DU16" s="61" t="s">
        <v>278</v>
      </c>
      <c r="DV16" s="5">
        <v>44478.252465277779</v>
      </c>
      <c r="DW16" s="6" t="s">
        <v>173</v>
      </c>
      <c r="DX16" s="18"/>
      <c r="DY16" s="61" t="s">
        <v>278</v>
      </c>
      <c r="DZ16" s="5">
        <v>44478.252511574072</v>
      </c>
      <c r="EA16" s="6" t="s">
        <v>173</v>
      </c>
      <c r="EB16" s="15" t="b">
        <v>0</v>
      </c>
      <c r="EC16" s="15" t="b">
        <v>0</v>
      </c>
      <c r="ED16" s="15" t="b">
        <v>0</v>
      </c>
      <c r="EE16" s="15" t="b">
        <v>0</v>
      </c>
      <c r="EF16" s="15" t="b">
        <v>0</v>
      </c>
      <c r="EG16" s="15" t="b">
        <v>0</v>
      </c>
      <c r="EH16" s="6" t="b">
        <v>0</v>
      </c>
      <c r="EI16" s="6" t="b">
        <v>0</v>
      </c>
      <c r="EJ16" s="6" t="b">
        <v>0</v>
      </c>
      <c r="EK16" s="6" t="b">
        <v>0</v>
      </c>
      <c r="EL16" s="6" t="b">
        <v>0</v>
      </c>
      <c r="EM16" s="6" t="b">
        <v>0</v>
      </c>
      <c r="EN16" s="6" t="b">
        <v>0</v>
      </c>
      <c r="EO16" s="6" t="b">
        <v>0</v>
      </c>
      <c r="EP16" s="6" t="b">
        <v>0</v>
      </c>
      <c r="EQ16" s="6" t="b">
        <v>0</v>
      </c>
      <c r="ER16" s="6" t="b">
        <v>0</v>
      </c>
      <c r="ES16" s="6" t="b">
        <v>0</v>
      </c>
      <c r="ET16" s="6" t="b">
        <v>0</v>
      </c>
      <c r="EU16" s="6" t="b">
        <v>0</v>
      </c>
      <c r="EV16" s="6" t="b">
        <v>0</v>
      </c>
      <c r="EW16" s="6" t="b">
        <v>0</v>
      </c>
      <c r="EX16" s="6" t="b">
        <v>0</v>
      </c>
      <c r="EY16" s="6" t="b">
        <v>0</v>
      </c>
      <c r="EZ16" s="15" t="b">
        <f>IF(COUNTA(Register[[#This Row],[Ethics - CAHS Complete]:[Ethics - Others Complete]])=0, "",IF(COUNTIF(Register[[#This Row],[Ethics - CAHS Complete]:[Ethics - Others Complete]],TRUE)&gt;0,TRUE,FALSE))</f>
        <v>0</v>
      </c>
      <c r="FA16" s="15" t="b">
        <f>IF(COUNTA(Register[[#This Row],[Gov - PCH Complete]:[Gov - Others Complete]])=0,"",IF(COUNTIF(Register[[#This Row],[Gov - PCH Complete]:[Gov - Others Complete]],TRUE)&gt;0,TRUE,FALSE))</f>
        <v>0</v>
      </c>
      <c r="FB16" s="15" t="b">
        <f>IF(COUNTA(Register[[#This Row],[Budget - VTG Complete]:[Budget - Pharmacy Complete]])=0,"",IF(COUNTIF(Register[[#This Row],[Budget - VTG Complete]:[Budget - Pharmacy Complete]],TRUE)=3,TRUE,FALSE))</f>
        <v>0</v>
      </c>
      <c r="FC16"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6" s="15">
        <f t="array" ref="FD16">IFERROR(MATCH(FALSE,Register[[#This Row],[Study Details Complete]:[SIV Complete]],0),IFERROR(MATCH(TRUE,ISBLANK(Register[[#This Row],[Study Details Complete]:[SIV Complete]]),0),1))</f>
        <v>1</v>
      </c>
    </row>
    <row r="17" spans="4:160" x14ac:dyDescent="0.25">
      <c r="D17" s="5">
        <v>44452.381851851853</v>
      </c>
      <c r="E17" s="6" t="s">
        <v>173</v>
      </c>
      <c r="F17" s="5"/>
      <c r="G17" s="6"/>
      <c r="H17" s="5">
        <v>44478.251574074071</v>
      </c>
      <c r="I17" s="6" t="s">
        <v>173</v>
      </c>
      <c r="J17" s="4" t="s">
        <v>174</v>
      </c>
      <c r="K17" s="4" t="s">
        <v>194</v>
      </c>
      <c r="L17" s="4" t="s">
        <v>195</v>
      </c>
      <c r="M17" s="4" t="s">
        <v>196</v>
      </c>
      <c r="N17" s="4" t="s">
        <v>197</v>
      </c>
      <c r="O17" s="4" t="s">
        <v>198</v>
      </c>
      <c r="P17" s="59" t="s">
        <v>278</v>
      </c>
      <c r="Q17" s="5">
        <v>44478.251539351855</v>
      </c>
      <c r="R17" s="6" t="s">
        <v>173</v>
      </c>
      <c r="S17" s="18">
        <v>43840</v>
      </c>
      <c r="T17" s="18">
        <v>43842</v>
      </c>
      <c r="U17" s="18">
        <v>43863</v>
      </c>
      <c r="V17" s="18">
        <v>43891</v>
      </c>
      <c r="W17" s="18">
        <v>43921</v>
      </c>
      <c r="X17" s="60" t="s">
        <v>278</v>
      </c>
      <c r="Y17" s="18">
        <v>44477.423379629632</v>
      </c>
      <c r="Z17" s="18" t="s">
        <v>173</v>
      </c>
      <c r="AA17" s="18">
        <v>43845</v>
      </c>
      <c r="AB17" s="18">
        <v>43921</v>
      </c>
      <c r="AC17" s="4" t="s">
        <v>199</v>
      </c>
      <c r="AD17" s="61" t="s">
        <v>276</v>
      </c>
      <c r="AE17" s="5">
        <v>44477.389270833337</v>
      </c>
      <c r="AF17" s="6" t="s">
        <v>173</v>
      </c>
      <c r="AG17" s="18">
        <v>43910</v>
      </c>
      <c r="AH17" s="4" t="s">
        <v>200</v>
      </c>
      <c r="AI17" s="18">
        <v>43917</v>
      </c>
      <c r="AJ17" s="4" t="s">
        <v>201</v>
      </c>
      <c r="AK17" s="18">
        <v>43922</v>
      </c>
      <c r="AL17" s="61" t="s">
        <v>276</v>
      </c>
      <c r="AM17" s="5">
        <v>44477.389305555553</v>
      </c>
      <c r="AN17" s="6" t="s">
        <v>173</v>
      </c>
      <c r="AO17" s="18">
        <v>43926</v>
      </c>
      <c r="AP17" s="61" t="s">
        <v>276</v>
      </c>
      <c r="AQ17" s="5">
        <v>44477.389328703706</v>
      </c>
      <c r="AR17" s="6" t="s">
        <v>173</v>
      </c>
      <c r="AS17" s="18">
        <v>43983</v>
      </c>
      <c r="AT17" s="18">
        <v>44440</v>
      </c>
      <c r="AU17" s="18">
        <v>44228</v>
      </c>
      <c r="AV17" s="18">
        <v>44012</v>
      </c>
      <c r="AW17" s="60" t="s">
        <v>276</v>
      </c>
      <c r="AX17" s="4" t="s">
        <v>202</v>
      </c>
      <c r="AY17" s="18">
        <v>43831</v>
      </c>
      <c r="AZ17" s="18">
        <v>43856</v>
      </c>
      <c r="BA17" s="60" t="s">
        <v>276</v>
      </c>
      <c r="BB17" s="18">
        <v>43850</v>
      </c>
      <c r="BC17" s="18">
        <v>43854</v>
      </c>
      <c r="BD17" s="60" t="s">
        <v>276</v>
      </c>
      <c r="BE17" s="4"/>
      <c r="BF17" s="4"/>
      <c r="BG17" s="4"/>
      <c r="BH17" s="4" t="s">
        <v>279</v>
      </c>
      <c r="BI17" s="18">
        <v>44045</v>
      </c>
      <c r="BJ17" s="18">
        <v>43831</v>
      </c>
      <c r="BK17" s="62" t="s">
        <v>278</v>
      </c>
      <c r="BL17" s="5">
        <v>44478.208784722221</v>
      </c>
      <c r="BM17" s="6" t="s">
        <v>173</v>
      </c>
      <c r="BN17" s="18">
        <v>43983</v>
      </c>
      <c r="BO17" s="18">
        <v>43956</v>
      </c>
      <c r="BP17" s="18">
        <v>44083</v>
      </c>
      <c r="BQ17" s="60" t="s">
        <v>276</v>
      </c>
      <c r="BR17" s="18">
        <v>44013</v>
      </c>
      <c r="BS17" s="18">
        <v>44017</v>
      </c>
      <c r="BT17" s="18">
        <v>44044</v>
      </c>
      <c r="BU17" s="60" t="s">
        <v>276</v>
      </c>
      <c r="BV17" s="4"/>
      <c r="BW17" s="4"/>
      <c r="BX17" s="4"/>
      <c r="BY17" s="4"/>
      <c r="BZ17" s="4"/>
      <c r="CA17" s="4"/>
      <c r="CB17" s="4"/>
      <c r="CC17" s="4"/>
      <c r="CD17" s="4"/>
      <c r="CE17" s="4"/>
      <c r="CF17" s="4"/>
      <c r="CG17" s="4"/>
      <c r="CH17" s="4"/>
      <c r="CI17" s="4"/>
      <c r="CJ17" s="4"/>
      <c r="CK17" s="4"/>
      <c r="CL17" s="4"/>
      <c r="CM17" s="4"/>
      <c r="CN17" s="4"/>
      <c r="CO17" s="4"/>
      <c r="CP17" s="4"/>
      <c r="CQ17" s="5">
        <v>44477.389490740738</v>
      </c>
      <c r="CR17" s="6" t="s">
        <v>173</v>
      </c>
      <c r="CS17" s="18">
        <v>44044</v>
      </c>
      <c r="CT17" s="18">
        <v>44058</v>
      </c>
      <c r="CU17" s="18">
        <v>44075</v>
      </c>
      <c r="CV17" s="60" t="s">
        <v>276</v>
      </c>
      <c r="CW17" s="18">
        <v>44079</v>
      </c>
      <c r="CX17" s="60" t="s">
        <v>276</v>
      </c>
      <c r="CY17" s="18">
        <v>44044</v>
      </c>
      <c r="CZ17" s="18">
        <v>44104</v>
      </c>
      <c r="DA17" s="60" t="s">
        <v>276</v>
      </c>
      <c r="DB17" s="5">
        <v>44477.389652777776</v>
      </c>
      <c r="DC17" s="6" t="s">
        <v>173</v>
      </c>
      <c r="DD17" s="18">
        <v>44136</v>
      </c>
      <c r="DE17" s="18">
        <v>44136</v>
      </c>
      <c r="DF17" s="18">
        <v>44197</v>
      </c>
      <c r="DG17" s="61" t="s">
        <v>276</v>
      </c>
      <c r="DH17" s="5">
        <v>44477.389525462961</v>
      </c>
      <c r="DI17" s="6" t="s">
        <v>173</v>
      </c>
      <c r="DJ17" s="18">
        <v>43952</v>
      </c>
      <c r="DK17" s="18">
        <v>43954</v>
      </c>
      <c r="DL17" s="18">
        <v>43955</v>
      </c>
      <c r="DM17" s="18">
        <v>43957</v>
      </c>
      <c r="DN17" s="18">
        <v>43957</v>
      </c>
      <c r="DO17" s="18">
        <v>43958</v>
      </c>
      <c r="DP17" s="18">
        <v>43959</v>
      </c>
      <c r="DQ17" s="61" t="s">
        <v>276</v>
      </c>
      <c r="DR17" s="5">
        <v>44477.389594907407</v>
      </c>
      <c r="DS17" s="6" t="s">
        <v>173</v>
      </c>
      <c r="DT17" s="18">
        <v>44124</v>
      </c>
      <c r="DU17" s="61" t="s">
        <v>276</v>
      </c>
      <c r="DV17" s="5">
        <v>44477.389687499999</v>
      </c>
      <c r="DW17" s="6" t="s">
        <v>173</v>
      </c>
      <c r="DX17" s="18">
        <v>44593</v>
      </c>
      <c r="DY17" s="61" t="s">
        <v>276</v>
      </c>
      <c r="DZ17" s="5">
        <v>44477.389756944445</v>
      </c>
      <c r="EA17" s="6" t="s">
        <v>173</v>
      </c>
      <c r="EB17" s="6" t="b">
        <v>1</v>
      </c>
      <c r="EC17" s="6" t="b">
        <v>1</v>
      </c>
      <c r="ED17" s="6" t="b">
        <v>1</v>
      </c>
      <c r="EE17" s="6" t="b">
        <v>1</v>
      </c>
      <c r="EF17" s="6" t="b">
        <v>0</v>
      </c>
      <c r="EG17" s="6" t="b">
        <v>1</v>
      </c>
      <c r="EH17" s="6" t="b">
        <v>1</v>
      </c>
      <c r="EI17" s="6" t="b">
        <v>1</v>
      </c>
      <c r="EJ17" s="6"/>
      <c r="EK17" s="6" t="b">
        <v>1</v>
      </c>
      <c r="EL17" s="6" t="b">
        <v>1</v>
      </c>
      <c r="EM17" s="6" t="b">
        <v>1</v>
      </c>
      <c r="EN17" s="6"/>
      <c r="EO17" s="6"/>
      <c r="EP17" s="6"/>
      <c r="EQ17" s="6"/>
      <c r="ER17" s="6"/>
      <c r="ES17" s="6" t="b">
        <v>1</v>
      </c>
      <c r="ET17" s="6" t="b">
        <v>1</v>
      </c>
      <c r="EU17" s="6" t="b">
        <v>1</v>
      </c>
      <c r="EV17" s="6" t="b">
        <v>1</v>
      </c>
      <c r="EW17" s="6" t="b">
        <v>1</v>
      </c>
      <c r="EX17" s="6" t="b">
        <v>1</v>
      </c>
      <c r="EY17" s="6" t="b">
        <v>1</v>
      </c>
      <c r="EZ17" s="15" t="b">
        <f>IF(COUNTA(Register[[#This Row],[Ethics - CAHS Complete]:[Ethics - Others Complete]])=0, "",IF(COUNTIF(Register[[#This Row],[Ethics - CAHS Complete]:[Ethics - Others Complete]],TRUE)&gt;0,TRUE,FALSE))</f>
        <v>1</v>
      </c>
      <c r="FA17" s="6" t="b">
        <f>IF(COUNTA(Register[[#This Row],[Gov - PCH Complete]:[Gov - Others Complete]])=0,"",IF(COUNTIF(Register[[#This Row],[Gov - PCH Complete]:[Gov - Others Complete]],TRUE)&gt;0,TRUE,FALSE))</f>
        <v>1</v>
      </c>
      <c r="FB17" s="6" t="b">
        <f>IF(COUNTA(Register[[#This Row],[Budget - VTG Complete]:[Budget - Pharmacy Complete]])=0,"",IF(COUNTIF(Register[[#This Row],[Budget - VTG Complete]:[Budget - Pharmacy Complete]],TRUE)=3,TRUE,FALSE))</f>
        <v>1</v>
      </c>
      <c r="FC17"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7" s="15">
        <f t="array" ref="FD17">IFERROR(MATCH(FALSE,Register[[#This Row],[Study Details Complete]:[SIV Complete]],0),IFERROR(MATCH(TRUE,ISBLANK(Register[[#This Row],[Study Details Complete]:[SIV Complete]]),0),1))</f>
        <v>5</v>
      </c>
    </row>
    <row r="18" spans="4:160" x14ac:dyDescent="0.25">
      <c r="D18" s="5">
        <v>44478.209004629629</v>
      </c>
      <c r="E18" s="6" t="s">
        <v>173</v>
      </c>
      <c r="F18" s="5"/>
      <c r="G18" s="6"/>
      <c r="H18" s="5">
        <v>44478.252511574072</v>
      </c>
      <c r="I18" s="6" t="s">
        <v>173</v>
      </c>
      <c r="J18" s="4" t="s">
        <v>174</v>
      </c>
      <c r="K18" s="4"/>
      <c r="L18" s="4" t="s">
        <v>280</v>
      </c>
      <c r="M18" s="4" t="s">
        <v>177</v>
      </c>
      <c r="N18" s="4"/>
      <c r="O18" s="4"/>
      <c r="P18" s="59" t="s">
        <v>278</v>
      </c>
      <c r="Q18" s="5">
        <v>44478.25167824074</v>
      </c>
      <c r="R18" s="6" t="s">
        <v>173</v>
      </c>
      <c r="S18" s="18">
        <v>43831</v>
      </c>
      <c r="T18" s="18"/>
      <c r="U18" s="18"/>
      <c r="V18" s="18"/>
      <c r="W18" s="18"/>
      <c r="X18" s="60" t="s">
        <v>278</v>
      </c>
      <c r="Y18" s="18">
        <v>44478.209236111114</v>
      </c>
      <c r="Z18" s="18" t="s">
        <v>173</v>
      </c>
      <c r="AA18" s="18">
        <v>43831</v>
      </c>
      <c r="AB18" s="18"/>
      <c r="AC18" s="18"/>
      <c r="AD18" s="61" t="s">
        <v>278</v>
      </c>
      <c r="AE18" s="5">
        <v>44478.209305555552</v>
      </c>
      <c r="AF18" s="6" t="s">
        <v>173</v>
      </c>
      <c r="AG18" s="18">
        <v>43831</v>
      </c>
      <c r="AH18" s="4" t="s">
        <v>200</v>
      </c>
      <c r="AI18" s="18"/>
      <c r="AJ18" s="4"/>
      <c r="AK18" s="18"/>
      <c r="AL18" s="61" t="s">
        <v>278</v>
      </c>
      <c r="AM18" s="5">
        <v>44478.209409722222</v>
      </c>
      <c r="AN18" s="6" t="s">
        <v>173</v>
      </c>
      <c r="AO18" s="18"/>
      <c r="AP18" s="61" t="s">
        <v>278</v>
      </c>
      <c r="AQ18" s="5">
        <v>44478.237291666665</v>
      </c>
      <c r="AR18" s="6" t="s">
        <v>173</v>
      </c>
      <c r="AS18" s="18"/>
      <c r="AT18" s="18"/>
      <c r="AU18" s="18"/>
      <c r="AV18" s="18"/>
      <c r="AW18" s="60" t="s">
        <v>278</v>
      </c>
      <c r="AX18" s="4"/>
      <c r="AY18" s="18"/>
      <c r="AZ18" s="18"/>
      <c r="BA18" s="60" t="s">
        <v>278</v>
      </c>
      <c r="BB18" s="18"/>
      <c r="BC18" s="18"/>
      <c r="BD18" s="60" t="s">
        <v>278</v>
      </c>
      <c r="BE18" s="18"/>
      <c r="BF18" s="18"/>
      <c r="BG18" s="62" t="s">
        <v>278</v>
      </c>
      <c r="BH18" s="4"/>
      <c r="BI18" s="18"/>
      <c r="BJ18" s="4"/>
      <c r="BK18" s="62" t="s">
        <v>278</v>
      </c>
      <c r="BL18" s="5">
        <v>44478.252152777779</v>
      </c>
      <c r="BM18" s="6" t="s">
        <v>173</v>
      </c>
      <c r="BN18" s="18"/>
      <c r="BO18" s="18"/>
      <c r="BP18" s="18"/>
      <c r="BQ18" s="60" t="s">
        <v>278</v>
      </c>
      <c r="BR18" s="18"/>
      <c r="BS18" s="18"/>
      <c r="BT18" s="18"/>
      <c r="BU18" s="60" t="s">
        <v>278</v>
      </c>
      <c r="BV18" s="4"/>
      <c r="BW18" s="4"/>
      <c r="BX18" s="4"/>
      <c r="BY18" s="62" t="s">
        <v>278</v>
      </c>
      <c r="BZ18" s="4"/>
      <c r="CA18" s="4"/>
      <c r="CB18" s="4"/>
      <c r="CC18" s="62" t="s">
        <v>278</v>
      </c>
      <c r="CD18" s="4"/>
      <c r="CE18" s="4"/>
      <c r="CF18" s="18"/>
      <c r="CG18" s="62" t="s">
        <v>278</v>
      </c>
      <c r="CH18" s="4"/>
      <c r="CI18" s="4"/>
      <c r="CJ18" s="4"/>
      <c r="CK18" s="62" t="s">
        <v>278</v>
      </c>
      <c r="CL18" s="4"/>
      <c r="CM18" s="4"/>
      <c r="CN18" s="4"/>
      <c r="CO18" s="4"/>
      <c r="CP18" s="62" t="s">
        <v>278</v>
      </c>
      <c r="CQ18" s="5">
        <v>44478.252303240741</v>
      </c>
      <c r="CR18" s="6" t="s">
        <v>173</v>
      </c>
      <c r="CS18" s="18"/>
      <c r="CT18" s="18"/>
      <c r="CU18" s="18"/>
      <c r="CV18" s="60" t="s">
        <v>278</v>
      </c>
      <c r="CW18" s="18"/>
      <c r="CX18" s="60" t="s">
        <v>278</v>
      </c>
      <c r="CY18" s="18"/>
      <c r="CZ18" s="18"/>
      <c r="DA18" s="60" t="s">
        <v>278</v>
      </c>
      <c r="DB18" s="5">
        <v>44478.252418981479</v>
      </c>
      <c r="DC18" s="6" t="s">
        <v>173</v>
      </c>
      <c r="DD18" s="18"/>
      <c r="DE18" s="18"/>
      <c r="DF18" s="18"/>
      <c r="DG18" s="61" t="s">
        <v>278</v>
      </c>
      <c r="DH18" s="5">
        <v>44478.252349537041</v>
      </c>
      <c r="DI18" s="6" t="s">
        <v>173</v>
      </c>
      <c r="DJ18" s="18"/>
      <c r="DK18" s="18"/>
      <c r="DL18" s="18"/>
      <c r="DM18" s="18"/>
      <c r="DN18" s="18"/>
      <c r="DO18" s="18"/>
      <c r="DP18" s="18"/>
      <c r="DQ18" s="61" t="s">
        <v>278</v>
      </c>
      <c r="DR18" s="5">
        <v>44478.252442129633</v>
      </c>
      <c r="DS18" s="6" t="s">
        <v>173</v>
      </c>
      <c r="DT18" s="18"/>
      <c r="DU18" s="61" t="s">
        <v>278</v>
      </c>
      <c r="DV18" s="5">
        <v>44478.252465277779</v>
      </c>
      <c r="DW18" s="6" t="s">
        <v>173</v>
      </c>
      <c r="DX18" s="18"/>
      <c r="DY18" s="61" t="s">
        <v>278</v>
      </c>
      <c r="DZ18" s="5">
        <v>44478.252511574072</v>
      </c>
      <c r="EA18" s="6" t="s">
        <v>173</v>
      </c>
      <c r="EB18" s="15" t="b">
        <v>0</v>
      </c>
      <c r="EC18" s="15" t="b">
        <v>0</v>
      </c>
      <c r="ED18" s="15" t="b">
        <v>0</v>
      </c>
      <c r="EE18" s="15" t="b">
        <v>0</v>
      </c>
      <c r="EF18" s="15" t="b">
        <v>0</v>
      </c>
      <c r="EG18" s="15" t="b">
        <v>0</v>
      </c>
      <c r="EH18" s="6" t="b">
        <v>0</v>
      </c>
      <c r="EI18" s="6" t="b">
        <v>0</v>
      </c>
      <c r="EJ18" s="6" t="b">
        <v>0</v>
      </c>
      <c r="EK18" s="6" t="b">
        <v>0</v>
      </c>
      <c r="EL18" s="6" t="b">
        <v>0</v>
      </c>
      <c r="EM18" s="6" t="b">
        <v>0</v>
      </c>
      <c r="EN18" s="6" t="b">
        <v>0</v>
      </c>
      <c r="EO18" s="6" t="b">
        <v>0</v>
      </c>
      <c r="EP18" s="6" t="b">
        <v>0</v>
      </c>
      <c r="EQ18" s="6" t="b">
        <v>0</v>
      </c>
      <c r="ER18" s="6" t="b">
        <v>0</v>
      </c>
      <c r="ES18" s="6" t="b">
        <v>0</v>
      </c>
      <c r="ET18" s="6" t="b">
        <v>0</v>
      </c>
      <c r="EU18" s="6" t="b">
        <v>0</v>
      </c>
      <c r="EV18" s="6" t="b">
        <v>0</v>
      </c>
      <c r="EW18" s="6" t="b">
        <v>0</v>
      </c>
      <c r="EX18" s="6" t="b">
        <v>0</v>
      </c>
      <c r="EY18" s="6" t="b">
        <v>0</v>
      </c>
      <c r="EZ18" s="15" t="b">
        <f>IF(COUNTA(Register[[#This Row],[Ethics - CAHS Complete]:[Ethics - Others Complete]])=0, "",IF(COUNTIF(Register[[#This Row],[Ethics - CAHS Complete]:[Ethics - Others Complete]],TRUE)&gt;0,TRUE,FALSE))</f>
        <v>0</v>
      </c>
      <c r="FA18" s="15" t="b">
        <f>IF(COUNTA(Register[[#This Row],[Gov - PCH Complete]:[Gov - Others Complete]])=0,"",IF(COUNTIF(Register[[#This Row],[Gov - PCH Complete]:[Gov - Others Complete]],TRUE)&gt;0,TRUE,FALSE))</f>
        <v>0</v>
      </c>
      <c r="FB18" s="15" t="b">
        <f>IF(COUNTA(Register[[#This Row],[Budget - VTG Complete]:[Budget - Pharmacy Complete]])=0,"",IF(COUNTIF(Register[[#This Row],[Budget - VTG Complete]:[Budget - Pharmacy Complete]],TRUE)=3,TRUE,FALSE))</f>
        <v>0</v>
      </c>
      <c r="FC18"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8" s="15">
        <f t="array" ref="FD18">IFERROR(MATCH(FALSE,Register[[#This Row],[Study Details Complete]:[SIV Complete]],0),IFERROR(MATCH(TRUE,ISBLANK(Register[[#This Row],[Study Details Complete]:[SIV Complete]]),0),1))</f>
        <v>1</v>
      </c>
    </row>
    <row r="19" spans="4:160" x14ac:dyDescent="0.25">
      <c r="D19" s="5">
        <v>44452.381851851853</v>
      </c>
      <c r="E19" s="6" t="s">
        <v>173</v>
      </c>
      <c r="F19" s="5"/>
      <c r="G19" s="6"/>
      <c r="H19" s="5">
        <v>44479.543668981481</v>
      </c>
      <c r="I19" s="6" t="s">
        <v>173</v>
      </c>
      <c r="J19" s="4" t="s">
        <v>174</v>
      </c>
      <c r="K19" s="4" t="s">
        <v>194</v>
      </c>
      <c r="L19" s="4" t="s">
        <v>195</v>
      </c>
      <c r="M19" s="4" t="s">
        <v>196</v>
      </c>
      <c r="N19" s="4" t="s">
        <v>197</v>
      </c>
      <c r="O19" s="4" t="s">
        <v>198</v>
      </c>
      <c r="P19" s="59" t="s">
        <v>278</v>
      </c>
      <c r="Q19" s="5">
        <v>44479.543252314812</v>
      </c>
      <c r="R19" s="6" t="s">
        <v>173</v>
      </c>
      <c r="S19" s="18">
        <v>43840</v>
      </c>
      <c r="T19" s="18">
        <v>43842</v>
      </c>
      <c r="U19" s="18">
        <v>43863</v>
      </c>
      <c r="V19" s="18">
        <v>43891</v>
      </c>
      <c r="W19" s="18">
        <v>43921</v>
      </c>
      <c r="X19" s="60" t="s">
        <v>278</v>
      </c>
      <c r="Y19" s="18">
        <v>44479.504074074073</v>
      </c>
      <c r="Z19" s="18" t="s">
        <v>173</v>
      </c>
      <c r="AA19" s="18">
        <v>43845</v>
      </c>
      <c r="AB19" s="18">
        <v>43921</v>
      </c>
      <c r="AC19" s="4" t="s">
        <v>199</v>
      </c>
      <c r="AD19" s="61" t="s">
        <v>276</v>
      </c>
      <c r="AE19" s="5">
        <v>44479.504270833335</v>
      </c>
      <c r="AF19" s="6" t="s">
        <v>173</v>
      </c>
      <c r="AG19" s="18">
        <v>43910</v>
      </c>
      <c r="AH19" s="4" t="s">
        <v>200</v>
      </c>
      <c r="AI19" s="18">
        <v>43917</v>
      </c>
      <c r="AJ19" s="4" t="s">
        <v>201</v>
      </c>
      <c r="AK19" s="18">
        <v>43922</v>
      </c>
      <c r="AL19" s="61" t="s">
        <v>276</v>
      </c>
      <c r="AM19" s="5">
        <v>44479.506018518521</v>
      </c>
      <c r="AN19" s="6" t="s">
        <v>173</v>
      </c>
      <c r="AO19" s="18">
        <v>43922</v>
      </c>
      <c r="AP19" s="61" t="s">
        <v>276</v>
      </c>
      <c r="AQ19" s="5">
        <v>44479.508819444447</v>
      </c>
      <c r="AR19" s="6" t="s">
        <v>173</v>
      </c>
      <c r="AS19" s="18">
        <v>43983</v>
      </c>
      <c r="AT19" s="18">
        <v>44440</v>
      </c>
      <c r="AU19" s="18">
        <v>44228</v>
      </c>
      <c r="AV19" s="18">
        <v>44012</v>
      </c>
      <c r="AW19" s="60" t="s">
        <v>276</v>
      </c>
      <c r="AX19" s="4" t="s">
        <v>202</v>
      </c>
      <c r="AY19" s="18">
        <v>43831</v>
      </c>
      <c r="AZ19" s="18">
        <v>43856</v>
      </c>
      <c r="BA19" s="60" t="s">
        <v>276</v>
      </c>
      <c r="BB19" s="18">
        <v>43850</v>
      </c>
      <c r="BC19" s="18">
        <v>43854</v>
      </c>
      <c r="BD19" s="60" t="s">
        <v>276</v>
      </c>
      <c r="BE19" s="4"/>
      <c r="BF19" s="4"/>
      <c r="BG19" s="4"/>
      <c r="BH19" s="4" t="s">
        <v>279</v>
      </c>
      <c r="BI19" s="18">
        <v>44045</v>
      </c>
      <c r="BJ19" s="18">
        <v>43831</v>
      </c>
      <c r="BK19" s="62" t="s">
        <v>278</v>
      </c>
      <c r="BL19" s="5">
        <v>44479.506909722222</v>
      </c>
      <c r="BM19" s="6" t="s">
        <v>173</v>
      </c>
      <c r="BN19" s="18">
        <v>43983</v>
      </c>
      <c r="BO19" s="18">
        <v>43956</v>
      </c>
      <c r="BP19" s="18">
        <v>44083</v>
      </c>
      <c r="BQ19" s="60" t="s">
        <v>276</v>
      </c>
      <c r="BR19" s="18">
        <v>44013</v>
      </c>
      <c r="BS19" s="18">
        <v>44017</v>
      </c>
      <c r="BT19" s="18">
        <v>44044</v>
      </c>
      <c r="BU19" s="60" t="s">
        <v>276</v>
      </c>
      <c r="BV19" s="4"/>
      <c r="BW19" s="4"/>
      <c r="BX19" s="4"/>
      <c r="BY19" s="4"/>
      <c r="BZ19" s="4"/>
      <c r="CA19" s="4"/>
      <c r="CB19" s="4"/>
      <c r="CC19" s="4"/>
      <c r="CD19" s="4"/>
      <c r="CE19" s="4"/>
      <c r="CF19" s="4"/>
      <c r="CG19" s="4"/>
      <c r="CH19" s="4"/>
      <c r="CI19" s="4"/>
      <c r="CJ19" s="4"/>
      <c r="CK19" s="4"/>
      <c r="CL19" s="62"/>
      <c r="CM19" s="4"/>
      <c r="CN19" s="4"/>
      <c r="CO19" s="4"/>
      <c r="CP19" s="4"/>
      <c r="CQ19" s="5">
        <v>44479.507187499999</v>
      </c>
      <c r="CR19" s="6" t="s">
        <v>173</v>
      </c>
      <c r="CS19" s="18">
        <v>43800</v>
      </c>
      <c r="CT19" s="18">
        <v>44058</v>
      </c>
      <c r="CU19" s="18">
        <v>44075</v>
      </c>
      <c r="CV19" s="60" t="s">
        <v>276</v>
      </c>
      <c r="CW19" s="18">
        <v>44079</v>
      </c>
      <c r="CX19" s="60" t="s">
        <v>276</v>
      </c>
      <c r="CY19" s="18">
        <v>44044</v>
      </c>
      <c r="CZ19" s="18">
        <v>44104</v>
      </c>
      <c r="DA19" s="60" t="s">
        <v>276</v>
      </c>
      <c r="DB19" s="5">
        <v>44479.543668981481</v>
      </c>
      <c r="DC19" s="6" t="s">
        <v>173</v>
      </c>
      <c r="DD19" s="18">
        <v>44136</v>
      </c>
      <c r="DE19" s="18">
        <v>44136</v>
      </c>
      <c r="DF19" s="18">
        <v>44197</v>
      </c>
      <c r="DG19" s="61" t="s">
        <v>276</v>
      </c>
      <c r="DH19" s="5">
        <v>44479.507326388892</v>
      </c>
      <c r="DI19" s="6" t="s">
        <v>173</v>
      </c>
      <c r="DJ19" s="18">
        <v>43952</v>
      </c>
      <c r="DK19" s="18">
        <v>43954</v>
      </c>
      <c r="DL19" s="18">
        <v>43955</v>
      </c>
      <c r="DM19" s="18">
        <v>43957</v>
      </c>
      <c r="DN19" s="18">
        <v>43957</v>
      </c>
      <c r="DO19" s="18">
        <v>43958</v>
      </c>
      <c r="DP19" s="18">
        <v>43959</v>
      </c>
      <c r="DQ19" s="61" t="s">
        <v>276</v>
      </c>
      <c r="DR19" s="5">
        <v>44477.389594907407</v>
      </c>
      <c r="DS19" s="6" t="s">
        <v>173</v>
      </c>
      <c r="DT19" s="18">
        <v>44124</v>
      </c>
      <c r="DU19" s="61" t="s">
        <v>276</v>
      </c>
      <c r="DV19" s="5">
        <v>44479.509108796294</v>
      </c>
      <c r="DW19" s="6" t="s">
        <v>173</v>
      </c>
      <c r="DX19" s="18">
        <v>44562</v>
      </c>
      <c r="DY19" s="61" t="s">
        <v>276</v>
      </c>
      <c r="DZ19" s="5">
        <v>44479.509687500002</v>
      </c>
      <c r="EA19" s="6" t="s">
        <v>173</v>
      </c>
      <c r="EB19" s="6" t="b">
        <v>1</v>
      </c>
      <c r="EC19" s="6" t="b">
        <v>1</v>
      </c>
      <c r="ED19" s="6" t="b">
        <v>1</v>
      </c>
      <c r="EE19" s="6" t="b">
        <v>1</v>
      </c>
      <c r="EF19" s="6" t="b">
        <v>0</v>
      </c>
      <c r="EG19" s="6" t="b">
        <v>1</v>
      </c>
      <c r="EH19" s="6" t="b">
        <v>1</v>
      </c>
      <c r="EI19" s="6" t="b">
        <v>1</v>
      </c>
      <c r="EJ19" s="6"/>
      <c r="EK19" s="6" t="b">
        <v>1</v>
      </c>
      <c r="EL19" s="6" t="b">
        <v>1</v>
      </c>
      <c r="EM19" s="6" t="b">
        <v>1</v>
      </c>
      <c r="EN19" s="6"/>
      <c r="EO19" s="6"/>
      <c r="EP19" s="6"/>
      <c r="EQ19" s="6"/>
      <c r="ER19" s="6"/>
      <c r="ES19" s="6" t="b">
        <v>1</v>
      </c>
      <c r="ET19" s="6" t="b">
        <v>0</v>
      </c>
      <c r="EU19" s="6" t="b">
        <v>1</v>
      </c>
      <c r="EV19" s="6" t="b">
        <v>1</v>
      </c>
      <c r="EW19" s="6" t="b">
        <v>1</v>
      </c>
      <c r="EX19" s="6" t="b">
        <v>1</v>
      </c>
      <c r="EY19" s="6" t="b">
        <v>1</v>
      </c>
      <c r="EZ19" s="15" t="b">
        <f>IF(COUNTA(Register[[#This Row],[Ethics - CAHS Complete]:[Ethics - Others Complete]])=0, "",IF(COUNTIF(Register[[#This Row],[Ethics - CAHS Complete]:[Ethics - Others Complete]],TRUE)&gt;0,TRUE,FALSE))</f>
        <v>1</v>
      </c>
      <c r="FA19" s="6" t="b">
        <f>IF(COUNTA(Register[[#This Row],[Gov - PCH Complete]:[Gov - Others Complete]])=0,"",IF(COUNTIF(Register[[#This Row],[Gov - PCH Complete]:[Gov - Others Complete]],TRUE)&gt;0,TRUE,FALSE))</f>
        <v>1</v>
      </c>
      <c r="FB19" s="6" t="b">
        <f>IF(COUNTA(Register[[#This Row],[Budget - VTG Complete]:[Budget - Pharmacy Complete]])=0,"",IF(COUNTIF(Register[[#This Row],[Budget - VTG Complete]:[Budget - Pharmacy Complete]],TRUE)=3,TRUE,FALSE))</f>
        <v>0</v>
      </c>
      <c r="FC19"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9" s="15">
        <f t="array" ref="FD19">IFERROR(MATCH(FALSE,Register[[#This Row],[Study Details Complete]:[SIV Complete]],0),IFERROR(MATCH(TRUE,ISBLANK(Register[[#This Row],[Study Details Complete]:[SIV Complete]]),0),1))</f>
        <v>5</v>
      </c>
    </row>
    <row r="20" spans="4:160" x14ac:dyDescent="0.25">
      <c r="D20" s="5">
        <v>44478.209004629629</v>
      </c>
      <c r="E20" s="6" t="s">
        <v>173</v>
      </c>
      <c r="F20" s="5"/>
      <c r="G20" s="6"/>
      <c r="H20" s="5">
        <v>44479.543217592596</v>
      </c>
      <c r="I20" s="6" t="s">
        <v>173</v>
      </c>
      <c r="J20" s="4" t="s">
        <v>174</v>
      </c>
      <c r="K20" s="4"/>
      <c r="L20" s="4" t="s">
        <v>280</v>
      </c>
      <c r="M20" s="4" t="s">
        <v>177</v>
      </c>
      <c r="N20" s="4"/>
      <c r="O20" s="4"/>
      <c r="P20" s="59" t="s">
        <v>278</v>
      </c>
      <c r="Q20" s="5">
        <v>44478.25167824074</v>
      </c>
      <c r="R20" s="6" t="s">
        <v>173</v>
      </c>
      <c r="S20" s="18">
        <v>43831</v>
      </c>
      <c r="T20" s="18"/>
      <c r="U20" s="18"/>
      <c r="V20" s="18"/>
      <c r="W20" s="18"/>
      <c r="X20" s="60" t="s">
        <v>278</v>
      </c>
      <c r="Y20" s="18">
        <v>44478.209236111114</v>
      </c>
      <c r="Z20" s="18" t="s">
        <v>173</v>
      </c>
      <c r="AA20" s="18">
        <v>43831</v>
      </c>
      <c r="AB20" s="18"/>
      <c r="AC20" s="18"/>
      <c r="AD20" s="61" t="s">
        <v>278</v>
      </c>
      <c r="AE20" s="5">
        <v>44478.209305555552</v>
      </c>
      <c r="AF20" s="6" t="s">
        <v>173</v>
      </c>
      <c r="AG20" s="18">
        <v>43831</v>
      </c>
      <c r="AH20" s="4" t="s">
        <v>200</v>
      </c>
      <c r="AI20" s="18"/>
      <c r="AJ20" s="4"/>
      <c r="AK20" s="18"/>
      <c r="AL20" s="61" t="s">
        <v>278</v>
      </c>
      <c r="AM20" s="5">
        <v>44478.209409722222</v>
      </c>
      <c r="AN20" s="6" t="s">
        <v>173</v>
      </c>
      <c r="AO20" s="18"/>
      <c r="AP20" s="61" t="s">
        <v>278</v>
      </c>
      <c r="AQ20" s="5">
        <v>44478.237291666665</v>
      </c>
      <c r="AR20" s="6" t="s">
        <v>173</v>
      </c>
      <c r="AS20" s="18"/>
      <c r="AT20" s="18"/>
      <c r="AU20" s="18"/>
      <c r="AV20" s="18"/>
      <c r="AW20" s="60" t="s">
        <v>278</v>
      </c>
      <c r="AX20" s="4"/>
      <c r="AY20" s="18"/>
      <c r="AZ20" s="18"/>
      <c r="BA20" s="60" t="s">
        <v>278</v>
      </c>
      <c r="BB20" s="18"/>
      <c r="BC20" s="18"/>
      <c r="BD20" s="60" t="s">
        <v>278</v>
      </c>
      <c r="BE20" s="18"/>
      <c r="BF20" s="18"/>
      <c r="BG20" s="62" t="s">
        <v>278</v>
      </c>
      <c r="BH20" s="4"/>
      <c r="BI20" s="18"/>
      <c r="BJ20" s="4"/>
      <c r="BK20" s="62" t="s">
        <v>278</v>
      </c>
      <c r="BL20" s="5">
        <v>44478.252152777779</v>
      </c>
      <c r="BM20" s="6" t="s">
        <v>173</v>
      </c>
      <c r="BN20" s="18"/>
      <c r="BO20" s="18"/>
      <c r="BP20" s="18"/>
      <c r="BQ20" s="60" t="s">
        <v>278</v>
      </c>
      <c r="BR20" s="18"/>
      <c r="BS20" s="18"/>
      <c r="BT20" s="18"/>
      <c r="BU20" s="60" t="s">
        <v>278</v>
      </c>
      <c r="BV20" s="4"/>
      <c r="BW20" s="4"/>
      <c r="BX20" s="4"/>
      <c r="BY20" s="62" t="s">
        <v>278</v>
      </c>
      <c r="BZ20" s="4"/>
      <c r="CA20" s="4"/>
      <c r="CB20" s="4"/>
      <c r="CC20" s="62" t="s">
        <v>278</v>
      </c>
      <c r="CD20" s="4"/>
      <c r="CE20" s="4"/>
      <c r="CF20" s="18"/>
      <c r="CG20" s="62" t="s">
        <v>278</v>
      </c>
      <c r="CH20" s="4"/>
      <c r="CI20" s="4"/>
      <c r="CJ20" s="4"/>
      <c r="CK20" s="62" t="s">
        <v>278</v>
      </c>
      <c r="CL20" s="4"/>
      <c r="CM20" s="4"/>
      <c r="CN20" s="4"/>
      <c r="CO20" s="4"/>
      <c r="CP20" s="62" t="s">
        <v>278</v>
      </c>
      <c r="CQ20" s="5">
        <v>44478.252303240741</v>
      </c>
      <c r="CR20" s="6" t="s">
        <v>173</v>
      </c>
      <c r="CS20" s="18"/>
      <c r="CT20" s="18"/>
      <c r="CU20" s="18"/>
      <c r="CV20" s="60" t="s">
        <v>278</v>
      </c>
      <c r="CW20" s="18"/>
      <c r="CX20" s="60" t="s">
        <v>278</v>
      </c>
      <c r="CY20" s="18"/>
      <c r="CZ20" s="18"/>
      <c r="DA20" s="60" t="s">
        <v>278</v>
      </c>
      <c r="DB20" s="5">
        <v>44478.252418981479</v>
      </c>
      <c r="DC20" s="6" t="s">
        <v>173</v>
      </c>
      <c r="DD20" s="18"/>
      <c r="DE20" s="18"/>
      <c r="DF20" s="18"/>
      <c r="DG20" s="61" t="s">
        <v>278</v>
      </c>
      <c r="DH20" s="5">
        <v>44478.252349537041</v>
      </c>
      <c r="DI20" s="6" t="s">
        <v>173</v>
      </c>
      <c r="DJ20" s="18"/>
      <c r="DK20" s="18"/>
      <c r="DL20" s="18"/>
      <c r="DM20" s="18"/>
      <c r="DN20" s="18"/>
      <c r="DO20" s="18"/>
      <c r="DP20" s="18"/>
      <c r="DQ20" s="61" t="s">
        <v>278</v>
      </c>
      <c r="DR20" s="5">
        <v>44478.252442129633</v>
      </c>
      <c r="DS20" s="6" t="s">
        <v>173</v>
      </c>
      <c r="DT20" s="18"/>
      <c r="DU20" s="61" t="s">
        <v>278</v>
      </c>
      <c r="DV20" s="5">
        <v>44478.252465277779</v>
      </c>
      <c r="DW20" s="6" t="s">
        <v>173</v>
      </c>
      <c r="DX20" s="18"/>
      <c r="DY20" s="61" t="s">
        <v>278</v>
      </c>
      <c r="DZ20" s="5">
        <v>44478.252511574072</v>
      </c>
      <c r="EA20" s="6" t="s">
        <v>173</v>
      </c>
      <c r="EB20" s="15" t="b">
        <v>0</v>
      </c>
      <c r="EC20" s="15" t="b">
        <v>0</v>
      </c>
      <c r="ED20" s="15" t="b">
        <v>0</v>
      </c>
      <c r="EE20" s="15" t="b">
        <v>0</v>
      </c>
      <c r="EF20" s="15" t="b">
        <v>0</v>
      </c>
      <c r="EG20" s="15" t="b">
        <v>0</v>
      </c>
      <c r="EH20" s="6" t="b">
        <v>0</v>
      </c>
      <c r="EI20" s="6" t="b">
        <v>0</v>
      </c>
      <c r="EJ20" s="6" t="b">
        <v>0</v>
      </c>
      <c r="EK20" s="6" t="b">
        <v>0</v>
      </c>
      <c r="EL20" s="6" t="b">
        <v>0</v>
      </c>
      <c r="EM20" s="6" t="b">
        <v>0</v>
      </c>
      <c r="EN20" s="6" t="b">
        <v>0</v>
      </c>
      <c r="EO20" s="6" t="b">
        <v>0</v>
      </c>
      <c r="EP20" s="6" t="b">
        <v>0</v>
      </c>
      <c r="EQ20" s="6" t="b">
        <v>0</v>
      </c>
      <c r="ER20" s="6" t="b">
        <v>0</v>
      </c>
      <c r="ES20" s="6" t="b">
        <v>0</v>
      </c>
      <c r="ET20" s="6" t="b">
        <v>0</v>
      </c>
      <c r="EU20" s="6" t="b">
        <v>0</v>
      </c>
      <c r="EV20" s="6" t="b">
        <v>0</v>
      </c>
      <c r="EW20" s="6" t="b">
        <v>0</v>
      </c>
      <c r="EX20" s="6" t="b">
        <v>0</v>
      </c>
      <c r="EY20" s="6" t="b">
        <v>0</v>
      </c>
      <c r="EZ20" s="15" t="b">
        <f>IF(COUNTA(Register[[#This Row],[Ethics - CAHS Complete]:[Ethics - Others Complete]])=0, "",IF(COUNTIF(Register[[#This Row],[Ethics - CAHS Complete]:[Ethics - Others Complete]],TRUE)&gt;0,TRUE,FALSE))</f>
        <v>0</v>
      </c>
      <c r="FA20" s="15" t="b">
        <f>IF(COUNTA(Register[[#This Row],[Gov - PCH Complete]:[Gov - Others Complete]])=0,"",IF(COUNTIF(Register[[#This Row],[Gov - PCH Complete]:[Gov - Others Complete]],TRUE)&gt;0,TRUE,FALSE))</f>
        <v>0</v>
      </c>
      <c r="FB20" s="15" t="b">
        <f>IF(COUNTA(Register[[#This Row],[Budget - VTG Complete]:[Budget - Pharmacy Complete]])=0,"",IF(COUNTIF(Register[[#This Row],[Budget - VTG Complete]:[Budget - Pharmacy Complete]],TRUE)=3,TRUE,FALSE))</f>
        <v>0</v>
      </c>
      <c r="FC20"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20" s="15">
        <f t="array" ref="FD20">IFERROR(MATCH(FALSE,Register[[#This Row],[Study Details Complete]:[SIV Complete]],0),IFERROR(MATCH(TRUE,ISBLANK(Register[[#This Row],[Study Details Complete]:[SIV Complete]]),0),1))</f>
        <v>1</v>
      </c>
    </row>
    <row r="21" spans="4:160" x14ac:dyDescent="0.25">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c r="CU21" s="9"/>
      <c r="CV21" s="9"/>
      <c r="CW21" s="9"/>
      <c r="CX21" s="9"/>
      <c r="CY21" s="9"/>
      <c r="CZ21" s="9"/>
      <c r="DA21" s="9"/>
      <c r="DB21" s="9"/>
      <c r="DC21" s="9"/>
      <c r="DD21" s="9"/>
      <c r="DE21" s="9"/>
      <c r="DF21" s="9"/>
      <c r="DG21" s="9"/>
      <c r="DH21" s="9"/>
      <c r="DI21" s="9"/>
      <c r="DJ21" s="9"/>
      <c r="DK21" s="9"/>
      <c r="DL21" s="9"/>
      <c r="DM21" s="9"/>
      <c r="DN21" s="9"/>
      <c r="DO21" s="9"/>
      <c r="DP21" s="9"/>
      <c r="DQ21" s="9"/>
      <c r="DR21" s="9"/>
      <c r="DS21" s="9"/>
      <c r="DT21" s="9"/>
      <c r="DU21" s="9"/>
      <c r="DV21" s="9"/>
      <c r="DW21" s="9"/>
      <c r="DX21" s="9"/>
      <c r="DY21" s="9"/>
      <c r="DZ21" s="9"/>
      <c r="EA21" s="9"/>
    </row>
    <row r="22" spans="4:160" x14ac:dyDescent="0.25">
      <c r="J22" s="17"/>
      <c r="K22" s="17"/>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c r="BS22" s="9"/>
      <c r="BT22" s="9"/>
      <c r="BU22" s="9"/>
      <c r="BV22" s="9"/>
      <c r="BW22" s="9"/>
      <c r="BX22" s="9"/>
      <c r="BY22" s="9"/>
      <c r="BZ22" s="9"/>
      <c r="CA22" s="9"/>
      <c r="CB22" s="9"/>
      <c r="CC22" s="9"/>
      <c r="CD22" s="9"/>
      <c r="CE22" s="9"/>
      <c r="CF22" s="9"/>
      <c r="CG22" s="9"/>
      <c r="CH22" s="9"/>
      <c r="CI22" s="9"/>
      <c r="CJ22" s="9"/>
      <c r="CK22" s="9"/>
      <c r="CL22" s="9"/>
      <c r="CM22" s="9"/>
      <c r="CN22" s="9"/>
      <c r="CO22" s="9"/>
      <c r="CP22" s="9"/>
      <c r="CQ22" s="9"/>
      <c r="CR22" s="9"/>
      <c r="CS22" s="9"/>
      <c r="CT22" s="9"/>
      <c r="CU22" s="9"/>
      <c r="CV22" s="9"/>
      <c r="CW22" s="9"/>
      <c r="CX22" s="9"/>
      <c r="CY22" s="9"/>
      <c r="CZ22" s="9"/>
      <c r="DA22" s="9"/>
      <c r="DB22" s="9"/>
      <c r="DC22" s="9"/>
      <c r="DD22" s="9"/>
      <c r="DE22" s="9"/>
      <c r="DF22" s="9"/>
      <c r="DG22" s="9"/>
      <c r="DH22" s="9"/>
      <c r="DI22" s="9"/>
      <c r="DJ22" s="9"/>
      <c r="DK22" s="9"/>
      <c r="DL22" s="9"/>
      <c r="DM22" s="9"/>
      <c r="DN22" s="9"/>
      <c r="DO22" s="9"/>
      <c r="DP22" s="9"/>
      <c r="DQ22" s="9"/>
      <c r="DR22" s="9"/>
      <c r="DS22" s="9"/>
      <c r="DT22" s="9"/>
      <c r="DU22" s="9"/>
      <c r="DV22" s="9"/>
      <c r="DW22" s="9"/>
      <c r="DX22" s="9"/>
      <c r="DY22" s="9"/>
      <c r="DZ22" s="9"/>
      <c r="EA22" s="9"/>
    </row>
    <row r="23" spans="4:160" x14ac:dyDescent="0.25">
      <c r="J23" s="17"/>
      <c r="K23" s="17"/>
      <c r="L23" s="9"/>
      <c r="M23" s="9"/>
      <c r="N23" s="9"/>
      <c r="O23" s="9"/>
      <c r="P23" s="9"/>
      <c r="Q23" s="9"/>
      <c r="R23" s="9"/>
      <c r="S23" s="9"/>
      <c r="T23" s="9"/>
      <c r="U23" s="9"/>
      <c r="V23" s="9"/>
      <c r="W23" s="9"/>
      <c r="X23" s="9"/>
      <c r="Y23" s="9"/>
      <c r="Z23" s="9"/>
      <c r="AA23" s="40"/>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row>
    <row r="24" spans="4:160" x14ac:dyDescent="0.25">
      <c r="J24" s="16"/>
      <c r="K24" s="16"/>
    </row>
    <row r="25" spans="4:160" x14ac:dyDescent="0.25">
      <c r="J25" s="16"/>
      <c r="K25" s="16"/>
      <c r="M25" s="38"/>
    </row>
    <row r="26" spans="4:160" x14ac:dyDescent="0.25">
      <c r="EB26" s="39"/>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9AFB56D-1446-4F8F-9C5F-115419D5EA82}">
  <ds:schemaRefs>
    <ds:schemaRef ds:uri="http://schemas.microsoft.com/sharepoint/v3/contenttype/forms"/>
  </ds:schemaRefs>
</ds:datastoreItem>
</file>

<file path=customXml/itemProps2.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B83D42E-B6BA-4EA5-A0F5-9149F3276280}">
  <ds:schemaRefs>
    <ds:schemaRef ds:uri="http://schemas.microsoft.com/DataMashup"/>
  </ds:schemaRefs>
</ds:datastoreItem>
</file>

<file path=customXml/itemProps4.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Guide</vt:lpstr>
      <vt:lpstr>Overview Report</vt:lpstr>
      <vt:lpstr>Register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Valued Customer</cp:lastModifiedBy>
  <cp:revision/>
  <dcterms:created xsi:type="dcterms:W3CDTF">2020-01-28T22:26:44Z</dcterms:created>
  <dcterms:modified xsi:type="dcterms:W3CDTF">2021-10-10T05:03:03Z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