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2CE02EF-645A-4106-A4C3-F73AC4C52084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D13" i="1"/>
  <c r="FB13" i="1"/>
  <c r="FA13" i="1"/>
  <c r="EZ13" i="1"/>
  <c r="FD12" i="1"/>
  <c r="FB12" i="1"/>
  <c r="FA12" i="1"/>
  <c r="EZ12" i="1"/>
  <c r="FC12" i="1" s="1"/>
  <c r="FD11" i="1"/>
  <c r="FB11" i="1"/>
  <c r="FA11" i="1"/>
  <c r="EZ11" i="1"/>
  <c r="FD10" i="1"/>
  <c r="FB10" i="1"/>
  <c r="FA10" i="1"/>
  <c r="EZ10" i="1"/>
  <c r="FD9" i="1"/>
  <c r="FB9" i="1"/>
  <c r="FA9" i="1"/>
  <c r="FC9" i="1" s="1"/>
  <c r="EZ9" i="1"/>
  <c r="FD7" i="1"/>
  <c r="FB7" i="1"/>
  <c r="FA7" i="1"/>
  <c r="EZ7" i="1"/>
  <c r="FC7" i="1" s="1"/>
  <c r="FD6" i="1"/>
  <c r="FB6" i="1"/>
  <c r="FA6" i="1"/>
  <c r="EZ6" i="1"/>
  <c r="FB8" i="1"/>
  <c r="FD8" i="1"/>
  <c r="FB14" i="1"/>
  <c r="FD14" i="1"/>
  <c r="FA8" i="1"/>
  <c r="FA14" i="1"/>
  <c r="EZ8" i="1"/>
  <c r="FC8" i="1" s="1"/>
  <c r="EZ14" i="1"/>
  <c r="FC14" i="1" s="1"/>
  <c r="FC15" i="1" l="1"/>
  <c r="FC13" i="1"/>
  <c r="FC11" i="1"/>
  <c r="FC10" i="1"/>
  <c r="FC6" i="1"/>
</calcChain>
</file>

<file path=xl/sharedStrings.xml><?xml version="1.0" encoding="utf-8"?>
<sst xmlns="http://schemas.openxmlformats.org/spreadsheetml/2006/main" count="459" uniqueCount="329">
  <si>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</si>
  <si>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</si>
  <si>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</si>
  <si>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</si>
  <si>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</si>
  <si>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</si>
  <si>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</si>
  <si>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</si>
  <si>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</si>
  <si>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</si>
  <si>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</si>
  <si>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</si>
  <si>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</si>
  <si>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</si>
  <si>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</si>
  <si>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</si>
  <si>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</si>
  <si>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</si>
  <si>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</si>
  <si>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</si>
  <si>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</si>
  <si>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</si>
  <si>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</si>
  <si>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</si>
  <si>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</si>
  <si>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</si>
  <si>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</si>
  <si>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</si>
  <si>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</si>
  <si>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</si>
  <si>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</si>
  <si>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</si>
  <si>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</si>
  <si>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</si>
  <si>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</si>
  <si>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</si>
  <si>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</si>
  <si>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</si>
  <si>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</si>
  <si>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</si>
  <si>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</si>
  <si>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</si>
  <si>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</si>
  <si>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</si>
  <si>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</si>
  <si>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</si>
  <si>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</si>
  <si>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</si>
  <si>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</si>
  <si>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</si>
  <si>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</si>
  <si>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</si>
  <si>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</si>
  <si>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</si>
  <si>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</si>
  <si>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</si>
  <si>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</si>
  <si>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</si>
  <si>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</si>
  <si>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</si>
  <si>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</si>
  <si>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</si>
  <si>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</si>
  <si>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</si>
  <si>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</si>
  <si>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</si>
  <si>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</si>
  <si>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</si>
  <si>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</si>
  <si>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</si>
  <si>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</si>
  <si>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</si>
  <si>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</si>
  <si>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</si>
  <si>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</si>
  <si>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</si>
  <si>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</si>
  <si>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</si>
  <si>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</si>
  <si>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</si>
  <si>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</si>
  <si>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</si>
  <si>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</si>
  <si>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</si>
  <si>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</si>
  <si>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</si>
  <si>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</si>
  <si>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</si>
  <si>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</si>
  <si>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</si>
  <si>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</si>
  <si>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</si>
  <si>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</si>
  <si>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</si>
  <si>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</si>
  <si>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</si>
  <si>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</si>
  <si>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</si>
  <si>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</si>
  <si>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</si>
  <si>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</si>
  <si>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</si>
  <si>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</si>
  <si>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</si>
  <si>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</si>
  <si>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</si>
  <si>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</si>
  <si>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</si>
  <si>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</si>
  <si>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</si>
  <si>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</si>
  <si>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</si>
  <si>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</si>
  <si>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</si>
  <si>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</si>
  <si>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</si>
  <si>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</si>
  <si>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</si>
  <si>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</si>
  <si>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</si>
  <si>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</si>
  <si>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</si>
  <si>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</si>
  <si>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</si>
  <si>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</si>
  <si>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</si>
  <si>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</si>
  <si>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</si>
  <si>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</si>
  <si>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</si>
  <si>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</si>
  <si>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</si>
  <si>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</si>
  <si>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</si>
  <si>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</si>
  <si>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</si>
  <si>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</si>
  <si>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</si>
  <si>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</si>
  <si>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</si>
  <si>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</si>
  <si>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</si>
  <si>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</si>
  <si>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</si>
  <si>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</si>
  <si>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</si>
  <si>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</si>
  <si>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</si>
  <si>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</si>
  <si>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</si>
  <si>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</si>
  <si>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</si>
  <si>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</si>
  <si>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</si>
  <si>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</si>
  <si>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</si>
  <si>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</si>
  <si>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</si>
  <si>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</si>
  <si>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</si>
  <si>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</si>
  <si>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</si>
  <si>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</si>
  <si>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</si>
  <si>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</si>
  <si>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</si>
  <si>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</si>
  <si>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</si>
  <si>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</si>
  <si>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</si>
  <si>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</si>
  <si>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</si>
  <si>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</si>
  <si>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</si>
  <si>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</si>
  <si>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</si>
  <si>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</si>
  <si>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</si>
  <si>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</si>
  <si>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</si>
  <si>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</si>
  <si>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</si>
  <si>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</si>
  <si>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</si>
  <si>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</si>
  <si>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</si>
  <si>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</si>
  <si>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</si>
  <si>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</si>
  <si>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</si>
  <si>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</si>
  <si>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</si>
  <si>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</si>
  <si>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</si>
  <si>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</si>
  <si>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</si>
  <si>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</si>
  <si>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</si>
  <si>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</si>
  <si>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</si>
  <si>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</si>
  <si>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</si>
  <si>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</si>
  <si>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</si>
  <si>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</si>
  <si>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</si>
  <si>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</si>
  <si>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</si>
  <si>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</si>
  <si>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</si>
  <si>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</si>
  <si>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</si>
  <si>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</si>
  <si>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</si>
  <si>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</si>
  <si>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</si>
  <si>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</si>
  <si>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</si>
  <si>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</si>
  <si>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</si>
  <si>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</si>
  <si>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</si>
  <si>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</si>
  <si>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</si>
  <si>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</si>
  <si>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</si>
  <si>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</si>
  <si>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</si>
  <si>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</si>
  <si>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</si>
  <si>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</si>
  <si>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</si>
  <si>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</si>
  <si>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</si>
  <si>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</si>
  <si>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</si>
  <si>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</si>
  <si>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</si>
  <si>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</si>
  <si>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</si>
  <si>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</si>
  <si>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</si>
  <si>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</si>
  <si>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</si>
  <si>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</si>
  <si>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</si>
  <si>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</si>
  <si>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</si>
  <si>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</si>
  <si>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</si>
  <si>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</si>
  <si>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</si>
  <si>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</si>
  <si>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</si>
  <si>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</si>
  <si>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</si>
  <si>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</si>
  <si>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</si>
  <si>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</si>
  <si>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</si>
  <si>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</si>
  <si>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</si>
  <si>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</si>
  <si>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</si>
  <si>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</si>
  <si>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</si>
  <si>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</si>
  <si>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</si>
  <si>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</si>
  <si>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</si>
  <si>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</si>
  <si>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</si>
  <si>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</si>
  <si>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</si>
  <si>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</si>
  <si>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</si>
  <si>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</si>
  <si>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</si>
  <si>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</si>
  <si>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</si>
  <si>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</si>
  <si>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</si>
  <si>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</si>
  <si>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</si>
  <si>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</si>
  <si>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</si>
  <si>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</si>
  <si>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</si>
  <si>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</si>
  <si>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</si>
  <si>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</si>
  <si>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</si>
  <si>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</si>
  <si>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</si>
  <si>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</si>
  <si>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</si>
  <si>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</si>
  <si>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</si>
  <si>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</si>
  <si>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</si>
  <si>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</si>
  <si>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</si>
  <si>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</si>
  <si>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</si>
  <si>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</si>
  <si>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</si>
  <si>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</si>
  <si>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</si>
  <si>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</si>
  <si>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</si>
  <si>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</si>
  <si>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</si>
  <si>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</si>
  <si>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</si>
  <si>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</si>
  <si>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</si>
  <si>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</si>
  <si>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</si>
  <si>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</si>
  <si>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</si>
  <si>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</si>
  <si>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</si>
  <si>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</si>
  <si>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</si>
  <si>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</si>
  <si>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</si>
  <si>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</si>
  <si>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</si>
  <si>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Data retrieved 29-Sep-2021 09:40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</si>
</sst>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5">
  <autoFilter ref="A8:AH17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EV6" activePane="bottomRight" state="frozen"/>
      <selection pane="topRight" activeCell="J1" sqref="J1"/>
      <selection pane="bottomLeft" activeCell="A6" sqref="A6"/>
      <selection pane="bottomRight" activeCell="EZ24" sqref="EZ24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44468.903136574074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44468.903124999997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15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15" t="b">
        <f>IF(COUNTA(Register[[#This Row],[Ethics - CAHS Complete]:[Ethics - Others Complete]])=0, "",IF(COUNTIF(Register[[#This Row],[Ethics - CAHS Complete]:[Ethics - Others Complete]],TRUE)&gt;0,TRUE,FALSE))</f>
        <v>1</v>
      </c>
      <c r="FA14" s="6" t="b">
        <f>IF(COUNTA(Register[[#This Row],[Gov - PCH Complete]:[Gov - Others Complete]])=0,"",IF(COUNTIF(Register[[#This Row],[Gov - PCH Complete]:[Gov - Others Complete]],TRUE)&gt;0,TRUE,FALSE))</f>
        <v>1</v>
      </c>
      <c r="FB14" s="6" t="b">
        <f>IF(COUNTA(Register[[#This Row],[Budget - VTG Complete]:[Budget - Pharmacy Complete]])=0,"",IF(COUNTIF(Register[[#This Row],[Budget - VTG Complete]:[Budget - Pharmacy Complete]],TRUE)=3,TRUE,FALSE))</f>
        <v>1</v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44471.603645833333</v>
      </c>
      <c r="I15" s="6" t="s">
        <v>87</v>
      </c>
      <c r="J15" s="4" t="s">
        <v>243</v>
      </c>
      <c r="K15" s="4">
        <v>110</v>
      </c>
      <c r="L15" s="4" t="s">
        <v>284</v>
      </c>
      <c r="M15" s="4" t="s">
        <v>285</v>
      </c>
      <c r="N15" s="4" t="s">
        <v>285</v>
      </c>
      <c r="O15" s="42" t="s">
        <v>298</v>
      </c>
      <c r="P15" s="7" t="s">
        <v>289</v>
      </c>
      <c r="Q15" s="5">
        <v>44471.6018287037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288</v>
      </c>
      <c r="Y15" s="19">
        <v>44471.574699074074</v>
      </c>
      <c r="Z15" s="19" t="s">
        <v>87</v>
      </c>
      <c r="AA15" s="19">
        <v>43862</v>
      </c>
      <c r="AB15" s="19">
        <v>43866</v>
      </c>
      <c r="AC15" s="19" t="s">
        <v>286</v>
      </c>
      <c r="AD15" s="6" t="s">
        <v>287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290</v>
      </c>
      <c r="AM15" s="5">
        <v>44468.832129629627</v>
      </c>
      <c r="AN15" s="6" t="s">
        <v>87</v>
      </c>
      <c r="AO15" s="19">
        <v>43831</v>
      </c>
      <c r="AP15" s="6" t="s">
        <v>291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292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297</v>
      </c>
      <c r="BI15" s="19">
        <v>43831</v>
      </c>
      <c r="BJ15" s="19" t="s">
        <v>108</v>
      </c>
      <c r="BK15" s="4" t="s">
        <v>293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294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295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299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296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3"/>
    </row>
    <row r="21" spans="10:132" x14ac:dyDescent="0.3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6" width="32.6640625" style="1" customWidth="1"/>
  </cols>
  <sheetData>
    <row r="1" spans="1:36" ht="18" x14ac:dyDescent="0.35">
      <c r="A1" s="46" t="s">
        <v>147</v>
      </c>
      <c r="C1" s="47" t="s">
        <v>328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274</v>
      </c>
      <c r="B3" s="21"/>
      <c r="I3" s="1"/>
      <c r="AB3" s="1"/>
      <c r="AI3"/>
      <c r="AJ3"/>
    </row>
    <row r="4" spans="1:36" x14ac:dyDescent="0.3">
      <c r="A4" t="s">
        <v>275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00.8" x14ac:dyDescent="0.3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4" t="s">
        <v>300</v>
      </c>
      <c r="AF14" s="34" t="s">
        <v>279</v>
      </c>
      <c r="AG14" s="34" t="s">
        <v>280</v>
      </c>
      <c r="AH14" s="34" t="s">
        <v>281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ht="100.8" x14ac:dyDescent="0.3">
      <c r="A16" s="34" t="s">
        <v>283</v>
      </c>
      <c r="B16" s="36">
        <v>44464</v>
      </c>
      <c r="C16" s="26" t="s">
        <v>247</v>
      </c>
      <c r="D16" s="37">
        <v>44468.290277777778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34" t="s">
        <v>301</v>
      </c>
      <c r="J16" s="34" t="s">
        <v>302</v>
      </c>
      <c r="K16" s="34" t="s">
        <v>303</v>
      </c>
      <c r="L16" s="34" t="s">
        <v>304</v>
      </c>
      <c r="M16" s="34" t="s">
        <v>305</v>
      </c>
      <c r="N16" s="27"/>
      <c r="O16" s="27"/>
      <c r="P16" s="27"/>
      <c r="Q16" s="26"/>
      <c r="R16" s="34" t="s">
        <v>306</v>
      </c>
      <c r="S16" s="34" t="s">
        <v>305</v>
      </c>
      <c r="T16" s="27"/>
      <c r="U16" s="27"/>
      <c r="V16" s="26"/>
      <c r="W16" s="26"/>
      <c r="X16" s="26"/>
      <c r="Y16" s="26"/>
      <c r="Z16" s="34" t="s">
        <v>307</v>
      </c>
      <c r="AA16" s="34" t="s">
        <v>269</v>
      </c>
      <c r="AB16" s="34" t="s">
        <v>308</v>
      </c>
      <c r="AC16" s="34" t="s">
        <v>309</v>
      </c>
      <c r="AD16" s="34" t="s">
        <v>310</v>
      </c>
      <c r="AE16" s="34" t="s">
        <v>311</v>
      </c>
      <c r="AF16" s="34" t="s">
        <v>312</v>
      </c>
      <c r="AG16" s="34" t="s">
        <v>313</v>
      </c>
      <c r="AH16" s="34" t="s">
        <v>314</v>
      </c>
      <c r="AI16"/>
      <c r="AJ16"/>
    </row>
    <row r="17" spans="1:36" ht="100.8" x14ac:dyDescent="0.3">
      <c r="A17" s="35" t="s">
        <v>243</v>
      </c>
      <c r="B17" s="36">
        <v>44466</v>
      </c>
      <c r="C17" s="26" t="s">
        <v>284</v>
      </c>
      <c r="D17" s="37">
        <v>44468.902777777781</v>
      </c>
      <c r="E17" s="40">
        <v>110</v>
      </c>
      <c r="F17" s="40" t="s">
        <v>285</v>
      </c>
      <c r="G17" s="40" t="s">
        <v>285</v>
      </c>
      <c r="H17" s="27" t="s">
        <v>298</v>
      </c>
      <c r="I17" s="34" t="s">
        <v>315</v>
      </c>
      <c r="J17" s="34" t="s">
        <v>316</v>
      </c>
      <c r="K17" s="34" t="s">
        <v>317</v>
      </c>
      <c r="L17" s="34" t="s">
        <v>318</v>
      </c>
      <c r="M17" s="34" t="s">
        <v>319</v>
      </c>
      <c r="N17" s="34" t="s">
        <v>320</v>
      </c>
      <c r="O17" s="27"/>
      <c r="P17" s="27"/>
      <c r="Q17" s="26"/>
      <c r="R17" s="35" t="s">
        <v>321</v>
      </c>
      <c r="S17" s="34" t="s">
        <v>322</v>
      </c>
      <c r="T17" s="34" t="s">
        <v>323</v>
      </c>
      <c r="U17" s="27"/>
      <c r="V17" s="26"/>
      <c r="W17" s="26"/>
      <c r="X17" s="35" t="s">
        <v>324</v>
      </c>
      <c r="Y17" s="26"/>
      <c r="Z17" s="27"/>
      <c r="AA17" s="27"/>
      <c r="AB17" s="34" t="s">
        <v>325</v>
      </c>
      <c r="AC17" s="27"/>
      <c r="AD17" s="27"/>
      <c r="AE17" s="27"/>
      <c r="AF17" s="35" t="s">
        <v>326</v>
      </c>
      <c r="AG17" s="27"/>
      <c r="AH17" s="34" t="s">
        <v>327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2021-10-02T06:29:20Z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