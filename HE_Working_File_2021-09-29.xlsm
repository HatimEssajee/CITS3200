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Work\University_2018-19\Semester_2_2021\CITS3200\Project\CITS3200_22\"/>
    </mc:Choice>
  </mc:AlternateContent>
  <xr:revisionPtr revIDLastSave="0" documentId="13_ncr:1_{72142636-1190-4665-8640-CFACAE8C9CBC}" xr6:coauthVersionLast="47" xr6:coauthVersionMax="47" xr10:uidLastSave="{00000000-0000-0000-0000-000000000000}"/>
  <bookViews>
    <workbookView xWindow="-120" yWindow="-120" windowWidth="29040" windowHeight="15840" activeTab="1" xr2:uid="{1ABECFD8-9AF8-44EB-A383-5C62445662D9}"/>
  </bookViews>
  <sheets>
    <sheet name="User Guide" sheetId="8" r:id="rId1"/>
    <sheet name="Register" sheetId="1" r:id="rId2"/>
    <sheet name="Overview Report" sheetId="11" r:id="rId3"/>
  </sheets>
  <functionGroups builtInGroupCount="19"/>
  <definedNames>
    <definedName name="_xlnm._FilterDatabase" localSheetId="2" hidden="1">'Overview Report'!$A$8:$AH$17</definedName>
    <definedName name="GI_Team">OFFSET(#REF!,0,0,COUNTA(#REF!),1)</definedName>
    <definedName name="ImprovTypes">OFFSET(#REF!,0,0,COUNTA(#REF!),1)</definedName>
    <definedName name="PrjChampTeam">OFFSET(#REF!,0,0,COUNTA(#REF!),1)</definedName>
    <definedName name="PrjOrigTeam">OFFSET(#REF!,0,0,COUNTA(#REF!),1)</definedName>
    <definedName name="PrjStatus">OFFSET(#REF!,0,0,COUNTA(#REF!),1)</definedName>
    <definedName name="TeamSupp">OFFSET(#REF!,0,0,COUNTA(#REF!),1)</definedName>
    <definedName name="TS_Team">OFFSET(#REF!,0,0,COUNTA(#REF!),1)</definedName>
    <definedName name="UNI_AA_VERSION" hidden="1">"322.1.0"</definedName>
    <definedName name="UNI_PRES_CLOSEST" hidden="1">512</definedName>
    <definedName name="UNI_PRES_FILTER" hidden="1">1</definedName>
    <definedName name="UNI_PRES_HEADINGS" hidden="1">16</definedName>
    <definedName name="UNI_PRES_INVERT" hidden="1">2</definedName>
    <definedName name="UNI_PRES_MATRIX" hidden="1">4</definedName>
    <definedName name="UNI_PRES_MERGED" hidden="1">8</definedName>
    <definedName name="UNI_PRES_MRECORD" hidden="1">64</definedName>
    <definedName name="UNI_PRES_MSTIME" hidden="1">8192</definedName>
    <definedName name="UNI_PRES_POST" hidden="1">256</definedName>
    <definedName name="UNI_PRES_PRIOR" hidden="1">2048</definedName>
    <definedName name="UNI_PRES_RECENT" hidden="1">1024</definedName>
    <definedName name="UNI_PRES_STATIC" hidden="1">128</definedName>
    <definedName name="UNI_PRES_TRANSPOSE" hidden="1">4096</definedName>
    <definedName name="UNI_RET_ATTRIB" hidden="1">64</definedName>
    <definedName name="UNI_RET_CONF" hidden="1">32</definedName>
    <definedName name="UNI_RET_DESC" hidden="1">4</definedName>
    <definedName name="UNI_RET_TAG" hidden="1">1</definedName>
    <definedName name="UNI_RET_TIME" hidden="1">8</definedName>
    <definedName name="UNI_RET_UNIT" hidden="1">2</definedName>
    <definedName name="UNI_RET_VALUE" hidden="1">16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D15" i="1" l="1"/>
  <c r="FB15" i="1"/>
  <c r="FA15" i="1"/>
  <c r="EZ15" i="1"/>
  <c r="FC15" i="1" s="1"/>
  <c r="FD13" i="1"/>
  <c r="FB13" i="1"/>
  <c r="FA13" i="1"/>
  <c r="EZ13" i="1"/>
  <c r="FC13" i="1" s="1"/>
  <c r="FD12" i="1"/>
  <c r="FB12" i="1"/>
  <c r="FA12" i="1"/>
  <c r="EZ12" i="1"/>
  <c r="FC12" i="1" s="1"/>
  <c r="FD11" i="1"/>
  <c r="FB11" i="1"/>
  <c r="FA11" i="1"/>
  <c r="FC11" i="1" s="1"/>
  <c r="EZ11" i="1"/>
  <c r="FD10" i="1"/>
  <c r="FB10" i="1"/>
  <c r="FA10" i="1"/>
  <c r="EZ10" i="1"/>
  <c r="FD9" i="1"/>
  <c r="FB9" i="1"/>
  <c r="FA9" i="1"/>
  <c r="FC9" i="1" s="1"/>
  <c r="EZ9" i="1"/>
  <c r="FD7" i="1"/>
  <c r="FB7" i="1"/>
  <c r="FA7" i="1"/>
  <c r="EZ7" i="1"/>
  <c r="FC7" i="1" s="1"/>
  <c r="FD6" i="1"/>
  <c r="FB6" i="1"/>
  <c r="FA6" i="1"/>
  <c r="EZ6" i="1"/>
  <c r="FB8" i="1"/>
  <c r="FD8" i="1"/>
  <c r="FB14" i="1"/>
  <c r="FD14" i="1"/>
  <c r="FA8" i="1"/>
  <c r="FA14" i="1"/>
  <c r="EZ8" i="1"/>
  <c r="FC8" i="1" s="1"/>
  <c r="EZ14" i="1"/>
  <c r="FC14" i="1" s="1"/>
  <c r="FC10" i="1" l="1"/>
  <c r="FC6" i="1"/>
</calcChain>
</file>

<file path=xl/sharedStrings.xml><?xml version="1.0" encoding="utf-8"?>
<sst xmlns="http://schemas.openxmlformats.org/spreadsheetml/2006/main" count="459" uniqueCount="329">
  <si>
    <t>Study Name</t>
  </si>
  <si>
    <t>Protocol No.</t>
  </si>
  <si>
    <t>Study Status</t>
  </si>
  <si>
    <t>Date Entry Last Accessed</t>
  </si>
  <si>
    <t>User who Last Accessed Entry</t>
  </si>
  <si>
    <t>Date Entry Deleted</t>
  </si>
  <si>
    <t>User who Deleted Entry</t>
  </si>
  <si>
    <t>Study Sponsor</t>
  </si>
  <si>
    <t>Age Range</t>
  </si>
  <si>
    <t>Study CRO</t>
  </si>
  <si>
    <t>Record Access Log</t>
  </si>
  <si>
    <t>Deletion Log</t>
  </si>
  <si>
    <t>Stage 1</t>
  </si>
  <si>
    <t>Date CDA Received from Sponsor</t>
  </si>
  <si>
    <t>Date CDA sent to Contracts</t>
  </si>
  <si>
    <t>Date CDA received from Contracts</t>
  </si>
  <si>
    <t>Date CDA Finalised</t>
  </si>
  <si>
    <t>Pre-study Visit Date</t>
  </si>
  <si>
    <t>Pre-study Visit Type</t>
  </si>
  <si>
    <t>Validation Visit Date</t>
  </si>
  <si>
    <t>Validation Visit Type</t>
  </si>
  <si>
    <t>Site Selection Date</t>
  </si>
  <si>
    <t>Date of Planning Meeting</t>
  </si>
  <si>
    <t>CAHS  Ethics Review - Date Submitted</t>
  </si>
  <si>
    <t>CAHS Ethics Review - Date Responded</t>
  </si>
  <si>
    <t>CAHS Ethics Review - Date Resubmitted</t>
  </si>
  <si>
    <t>CAHS Ethics Review - Date Approved</t>
  </si>
  <si>
    <t>NMA Ethics Review - Ethics Committee Name</t>
  </si>
  <si>
    <t>NMA Ethics Review - Date Submitted</t>
  </si>
  <si>
    <t>NMA Ethics Review - Date Approved</t>
  </si>
  <si>
    <t>WNHS Ethics Review - Date Submitted</t>
  </si>
  <si>
    <t>WNHS Ethics Review - Date Approved</t>
  </si>
  <si>
    <t>SJOG Ethics Review - Date Submitted</t>
  </si>
  <si>
    <t>SJOG Ethics Review - Date Approved</t>
  </si>
  <si>
    <t>Other Ethics Review - Ethics Committee Name</t>
  </si>
  <si>
    <t>Other Ethics Review - Date Submitted</t>
  </si>
  <si>
    <t>Other Ethics Review - Date Approved</t>
  </si>
  <si>
    <t>PCH Gov. Review - Date Submitted</t>
  </si>
  <si>
    <t>PCH Gov. Review - Date Responded</t>
  </si>
  <si>
    <t>TKI Gov. Review - Date Submitted</t>
  </si>
  <si>
    <t>TKI Gov. Review - Date Responded</t>
  </si>
  <si>
    <t>PCH Gov. Review - Date Approved</t>
  </si>
  <si>
    <t>TKI Gov. Review - Date Approved</t>
  </si>
  <si>
    <t>KEMH Gov. Review - Date Submitted</t>
  </si>
  <si>
    <t>KEMH Gov. Review - Date Responded</t>
  </si>
  <si>
    <t>KEMH Gov. Review - Date Approved</t>
  </si>
  <si>
    <t>SJOG Subiaco Gov. Review - Date Submitted</t>
  </si>
  <si>
    <t>SJOG Subiaco Gov. Review - Date Responded</t>
  </si>
  <si>
    <t>SJOG Subiaco Gov. Review - Date Approved</t>
  </si>
  <si>
    <t>SJOG Mt Lawley Gov. Review - Date Submitted</t>
  </si>
  <si>
    <t>SJOG Mt Lawley Gov. Review - Date Responded</t>
  </si>
  <si>
    <t>SJOG Mt Lawley Gov. Review - Date Approved</t>
  </si>
  <si>
    <t>SJOG Murdoch Gov. Review - Date Submitted</t>
  </si>
  <si>
    <t>SJOG Murdoch Gov. Review - Date Responded</t>
  </si>
  <si>
    <t>SJOG Murdoch Gov. Review - Date Approved</t>
  </si>
  <si>
    <t>Other Gov. Review - Date Submitted</t>
  </si>
  <si>
    <t>Other Gov. Review - Date Responded</t>
  </si>
  <si>
    <t>Other Gov. Review - Date Approved</t>
  </si>
  <si>
    <t>Other Gov. Review - Governance Body</t>
  </si>
  <si>
    <t>VTG Budget Review - Date Finalised</t>
  </si>
  <si>
    <t>VTG Budget Review - Date Submitted to Finance</t>
  </si>
  <si>
    <t>VTG Budget Review - Date Approved</t>
  </si>
  <si>
    <t>TKI Budget Review - Date Approved</t>
  </si>
  <si>
    <t>Pharmacy Budget Review - Date Quote Received</t>
  </si>
  <si>
    <t>Pharmacy Budget Review - Date PO Finalised</t>
  </si>
  <si>
    <t>Indemnity Review - Date Received</t>
  </si>
  <si>
    <t>Indemnity Review - Date Sent to Contracts</t>
  </si>
  <si>
    <t>Indemnity Review - Date Completed</t>
  </si>
  <si>
    <t>CTRA - Date submitted to Research, Gov. &amp; Contracts</t>
  </si>
  <si>
    <t>CTRA - Date of UWA Review</t>
  </si>
  <si>
    <t>CTRA - Date of Finance Review &amp; Approval</t>
  </si>
  <si>
    <t>CTRA - Date of COO / CFO sign-off</t>
  </si>
  <si>
    <t>CTRA - Date of VTG sign-off</t>
  </si>
  <si>
    <t>CTRA - Date of submission to Company</t>
  </si>
  <si>
    <t>CTRA - Date Finalised</t>
  </si>
  <si>
    <t>Date Financial Disclosure Completed</t>
  </si>
  <si>
    <t>Date of Site Initiation Visit</t>
  </si>
  <si>
    <t>Date Entry Created</t>
  </si>
  <si>
    <t>User who Created Entry</t>
  </si>
  <si>
    <t>Creation Log</t>
  </si>
  <si>
    <t>DELETED</t>
  </si>
  <si>
    <t>GSK</t>
  </si>
  <si>
    <t>ABC</t>
  </si>
  <si>
    <t>Date CDA Sent to Sponsor</t>
  </si>
  <si>
    <t>Virtual</t>
  </si>
  <si>
    <t>Pfizer</t>
  </si>
  <si>
    <t>On-site</t>
  </si>
  <si>
    <t>Valued Customer</t>
  </si>
  <si>
    <t>Study 1</t>
  </si>
  <si>
    <t>Sponsor 1</t>
  </si>
  <si>
    <t>CRO 1</t>
  </si>
  <si>
    <t>Protocol 1</t>
  </si>
  <si>
    <t>Age 1</t>
  </si>
  <si>
    <t>Reminder to call Person 1</t>
  </si>
  <si>
    <t>Protocol 2</t>
  </si>
  <si>
    <t>Study 2</t>
  </si>
  <si>
    <t>Sponsor 2</t>
  </si>
  <si>
    <t>CRO 2</t>
  </si>
  <si>
    <t>Call Mr M to followup on 17th October</t>
  </si>
  <si>
    <t>PSM123</t>
  </si>
  <si>
    <t>Foxtrot Charlie</t>
  </si>
  <si>
    <t>CRO 4</t>
  </si>
  <si>
    <t>PSM 4241</t>
  </si>
  <si>
    <t>Welcome Foxtrot</t>
  </si>
  <si>
    <t>Ages 9 to 13</t>
  </si>
  <si>
    <t>PSM 55</t>
  </si>
  <si>
    <t>Welcome Foxtroters</t>
  </si>
  <si>
    <t>The quick brown fox</t>
  </si>
  <si>
    <t>A</t>
  </si>
  <si>
    <t>C</t>
  </si>
  <si>
    <t>PNUM-12343</t>
  </si>
  <si>
    <t>Full example study</t>
  </si>
  <si>
    <t>CRO</t>
  </si>
  <si>
    <t>Children ages 1 to 5</t>
  </si>
  <si>
    <t>Call bob to confirm age range</t>
  </si>
  <si>
    <t>Machine X requested by sponsor</t>
  </si>
  <si>
    <t>Completed recruitment by 20th April</t>
  </si>
  <si>
    <t>A = 04/05/2020</t>
  </si>
  <si>
    <t>Sponsor happy with work so far</t>
  </si>
  <si>
    <t>Reminder to followup in dec</t>
  </si>
  <si>
    <t>Fully insured</t>
  </si>
  <si>
    <t>Study Details Complete</t>
  </si>
  <si>
    <t>CDA Complete</t>
  </si>
  <si>
    <t>FS Complete</t>
  </si>
  <si>
    <t>Site Selection Complete</t>
  </si>
  <si>
    <t>Recruitment Complete</t>
  </si>
  <si>
    <t>Ethics - CAHS Complete</t>
  </si>
  <si>
    <t>Ethics - NMA Complete</t>
  </si>
  <si>
    <t>Ethics - WNHS Complete</t>
  </si>
  <si>
    <t>Ethics - SJOG Complete</t>
  </si>
  <si>
    <t>Ethics - Others Complete</t>
  </si>
  <si>
    <t>Gov - PCH Complete</t>
  </si>
  <si>
    <t>Gov - TKI Complete</t>
  </si>
  <si>
    <t>Gov - KEMH Complete</t>
  </si>
  <si>
    <t>Gov - SJOG Subiaco Complete</t>
  </si>
  <si>
    <t>Gov - SJOG Mt Lawley Complete</t>
  </si>
  <si>
    <t>Gov - SJOG Murdoch Complete</t>
  </si>
  <si>
    <t>Gov - Others Complete</t>
  </si>
  <si>
    <t>Budget - VTG Complete</t>
  </si>
  <si>
    <t>Budget - Pharmacy Complete</t>
  </si>
  <si>
    <t>Indemnity Complete</t>
  </si>
  <si>
    <t>CTRA Complete</t>
  </si>
  <si>
    <t>Fin Disc Complete</t>
  </si>
  <si>
    <t>SIV Complete</t>
  </si>
  <si>
    <t>Fast Cycle Location</t>
  </si>
  <si>
    <t>HE</t>
  </si>
  <si>
    <t>NMT</t>
  </si>
  <si>
    <t>Vaccine Trial Start-ups Tracking Form</t>
  </si>
  <si>
    <t>Sponsor</t>
  </si>
  <si>
    <t>Protocol Number</t>
  </si>
  <si>
    <t>CDA</t>
  </si>
  <si>
    <t>Feasibility</t>
  </si>
  <si>
    <t>Site Selection</t>
  </si>
  <si>
    <t>Recruitment Plan</t>
  </si>
  <si>
    <t>Indemnity</t>
  </si>
  <si>
    <t>CTRA</t>
  </si>
  <si>
    <t>Financial Disclosure</t>
  </si>
  <si>
    <t>SIV</t>
  </si>
  <si>
    <t>Date Created</t>
  </si>
  <si>
    <t>CAHS Ethics Approval</t>
  </si>
  <si>
    <t>NMA Ethics Approval</t>
  </si>
  <si>
    <t>WNHS Ethics Approval</t>
  </si>
  <si>
    <t>SJOG Ethics Approval</t>
  </si>
  <si>
    <t>Others Ethics Approval</t>
  </si>
  <si>
    <t>PCH Governance Approval</t>
  </si>
  <si>
    <t>TKI Governance Approval</t>
  </si>
  <si>
    <t>KEMH Governance Approval</t>
  </si>
  <si>
    <t>SJOG Subiaco Gov. Approval</t>
  </si>
  <si>
    <t>SJOG Mt Lawley Gov. Approval</t>
  </si>
  <si>
    <t>SJOG Murdoch Gov. Approval</t>
  </si>
  <si>
    <t>Others Governance Approval</t>
  </si>
  <si>
    <t>VTG Budget Approval</t>
  </si>
  <si>
    <t>TKI Budget Approval</t>
  </si>
  <si>
    <t>Pharmacy Quotation</t>
  </si>
  <si>
    <t>Overall Ethics Approval</t>
  </si>
  <si>
    <t>Date Last Updated</t>
  </si>
  <si>
    <t>Date Recv. = 15-Jan-20
Date Completed = 31-Mar-20; HE</t>
  </si>
  <si>
    <t>Pre-study visit = 20-Mar-20; Virtual
Valid. visit = 27-Mar-20; On-site
Date Site Selected = 01-Apr-20</t>
  </si>
  <si>
    <t xml:space="preserve">Date Recv. Sponsor = 10-Jan-20
Date Sent Contracts = 12-Jan-20
Date Recv. Contracts = 02-Feb-20
Date Sent Sponsor = 01-Mar-20
Date Finalised = 31-Mar-20
</t>
  </si>
  <si>
    <t>add</t>
  </si>
  <si>
    <t>CDA - Version Control</t>
  </si>
  <si>
    <t>Study Details - Version Control</t>
  </si>
  <si>
    <t>Study Details - Reminder Comments</t>
  </si>
  <si>
    <t>Study Details - Date Entry Last Updated</t>
  </si>
  <si>
    <t>Study Details - User who Last Updated Entry</t>
  </si>
  <si>
    <t>CDA - Reminder Comments</t>
  </si>
  <si>
    <t>CDA - Date Entry Last Updated</t>
  </si>
  <si>
    <t>CDA - User who Last Updated Entry</t>
  </si>
  <si>
    <t>Feasibility - Version Control</t>
  </si>
  <si>
    <t>Date Feasibility Received</t>
  </si>
  <si>
    <t>Date Feasibility Completed</t>
  </si>
  <si>
    <t>Completed By</t>
  </si>
  <si>
    <t>Feasibility - Reminder Comments</t>
  </si>
  <si>
    <t>Feasibility - Date Entry Last Updated</t>
  </si>
  <si>
    <t>Feasibility - User who Last Updated Entry</t>
  </si>
  <si>
    <t>Site Select - Version Control</t>
  </si>
  <si>
    <t>Site Select - Date Entry Last Updated</t>
  </si>
  <si>
    <t>Site Select - Reminder Comments</t>
  </si>
  <si>
    <t>Site Select - User who Last Updated Entry</t>
  </si>
  <si>
    <t>Recruitment - Reminder Comments</t>
  </si>
  <si>
    <t>Recruitment - Date Entry Last Updated</t>
  </si>
  <si>
    <t>Recruitment - User who Last Updated Entry</t>
  </si>
  <si>
    <t>Recruitment - Version Control</t>
  </si>
  <si>
    <t>Ethics - Version Control</t>
  </si>
  <si>
    <t>Ethics - Date Entry Last Updated</t>
  </si>
  <si>
    <t>Ethics - User who Last Updated Entry</t>
  </si>
  <si>
    <t>Others Gov. Review - Reminder Comments</t>
  </si>
  <si>
    <t>PCH Gov. Review - Reminder Comments</t>
  </si>
  <si>
    <t>TKI Gov. Review - Reminder Comments</t>
  </si>
  <si>
    <t>KEMH Gov. Review - Reminder Comments</t>
  </si>
  <si>
    <t>SJOG Subiaco Gov. Review - Reminder Comments</t>
  </si>
  <si>
    <t>SJOG Mt Lawley Gov. Review - Reminder Comments</t>
  </si>
  <si>
    <t>SJOG Murdoch Gov. Review - Reminder Comments</t>
  </si>
  <si>
    <t>WNHS Ethics Review - Reminder Comments</t>
  </si>
  <si>
    <t>SJOG Ethics Review - Reminder Comments</t>
  </si>
  <si>
    <t>NMA Ethics Review - Reminder Comments</t>
  </si>
  <si>
    <t>CAHS Ethics Review - Reminder Comments</t>
  </si>
  <si>
    <t>Others Ethics Review - Reminder Comments</t>
  </si>
  <si>
    <t>VTG Budget Review - Reminder Comments</t>
  </si>
  <si>
    <t>Pharmacy Budget Review - Reminder Comments</t>
  </si>
  <si>
    <t>TKI Budget Review - Reminder Comments</t>
  </si>
  <si>
    <t>Governance - Version Control</t>
  </si>
  <si>
    <t>Governance - Date Entry Last Updated</t>
  </si>
  <si>
    <t>Governance - User who Last Updated Entry</t>
  </si>
  <si>
    <t>Budget - Version Control</t>
  </si>
  <si>
    <t>Budget - Date Entry Last Updated</t>
  </si>
  <si>
    <t>Budget - User who Last Updated Entry</t>
  </si>
  <si>
    <t>Indemnity - Reminder Comments</t>
  </si>
  <si>
    <t>Indemnity - Date Entry Last Updated</t>
  </si>
  <si>
    <t>Indemnity - User who Last Updated Entry</t>
  </si>
  <si>
    <t>Indemnity - Version Control</t>
  </si>
  <si>
    <t>CTRA - Version Control</t>
  </si>
  <si>
    <t>CTRA - Reminder Comments</t>
  </si>
  <si>
    <t>CTRA - Date Entry Last Updated</t>
  </si>
  <si>
    <t>CTRA - User who Last Updated Entry</t>
  </si>
  <si>
    <t>Fin. Disc. - Reminder Comments</t>
  </si>
  <si>
    <t>Fin. Disc. - Date Entry Last Updated</t>
  </si>
  <si>
    <t>Fin. Disc. - Version Control</t>
  </si>
  <si>
    <t>Fin. Disc. - User who Last Updated Entry</t>
  </si>
  <si>
    <t>SIV - Version Control</t>
  </si>
  <si>
    <t>SIV - Reminder Comments</t>
  </si>
  <si>
    <t>SIV - Date Entry Last Updated</t>
  </si>
  <si>
    <t>SIV - User who Last Updated Entry</t>
  </si>
  <si>
    <t>Pre-commencement</t>
  </si>
  <si>
    <t>aDASAF</t>
  </si>
  <si>
    <t>BR mentioned need to confirm if $$s are oksss</t>
  </si>
  <si>
    <t>Anfernee Alviar</t>
  </si>
  <si>
    <t>Anti-Death Equation</t>
  </si>
  <si>
    <t>The Dark Side Inc.</t>
  </si>
  <si>
    <t>Glorious Godfrey</t>
  </si>
  <si>
    <t>D4RKS31D</t>
  </si>
  <si>
    <t>Apo-Ko-Lips</t>
  </si>
  <si>
    <t>12 to 65</t>
  </si>
  <si>
    <t/>
  </si>
  <si>
    <t>New Genesis Committee</t>
  </si>
  <si>
    <t>Fourth World</t>
  </si>
  <si>
    <t>Plan. Meeting = 05-Apr-20</t>
  </si>
  <si>
    <t>CAHS Complete
NMA Complete
WNHS Complete</t>
  </si>
  <si>
    <t>Overall Governance Approval</t>
  </si>
  <si>
    <t>Overall Budget Approval</t>
  </si>
  <si>
    <t>PCH Complete
TKI Complete</t>
  </si>
  <si>
    <t>Ethics Commitee = NMT
Date Submitted = 01-Jan-20
Date Approved = 26-Jan-20</t>
  </si>
  <si>
    <t>Date Submitted = 20-Jan-20
Date Approved = 24-Jan-20</t>
  </si>
  <si>
    <t xml:space="preserve">
Reminder:
Call Mr M to followup on 17th October</t>
  </si>
  <si>
    <t>Age Range / Reminder</t>
  </si>
  <si>
    <t>Date Submitted = 01-Jun-20
Date Responded = 05-May-20
Date Approved = 09-Sep-20</t>
  </si>
  <si>
    <t>Date Approved = 05-Sep-20</t>
  </si>
  <si>
    <t>Date Quote Recv. = 01-Aug-20
Date PO Finalised = 30-Sep-20</t>
  </si>
  <si>
    <t>Budget - TKI Complete</t>
  </si>
  <si>
    <t>VTG Complete
TKI Complete
Pharmacy Complete</t>
  </si>
  <si>
    <t>Overall Ethics</t>
  </si>
  <si>
    <t>Overall Governance</t>
  </si>
  <si>
    <t>Overall Study</t>
  </si>
  <si>
    <t>Overall Budget</t>
  </si>
  <si>
    <t>Completed activity</t>
  </si>
  <si>
    <t>Incomplete activity</t>
  </si>
  <si>
    <t>Date Submitted = 01-Jun-20
Date Responded = 01-Sep-21
Date Resubmitted = 01-Feb-21
Date Approved = 30-Jun-20</t>
  </si>
  <si>
    <t>Date Submitted = 01-Jul-20
Date Responded = 05-Jul-20
Date Approved = 01-Aug-20</t>
  </si>
  <si>
    <t>Date Finalised = 01-Aug-20
Date Submitted Finance = 15-Aug-20
Date Approved = 01-Sep-20</t>
  </si>
  <si>
    <t>Date Submitted R,G&amp;C = 01-May-20
Date UWA Review = 03-May-20
Date Finance Review = 04-May-20
Date COO/CFO Sign-off = 06-May-20
Date VTG Sign-off = 06-May-20
Date Subm. Company = 07-May-20
Date Finalised = 08-May-20</t>
  </si>
  <si>
    <t>Date Completed = 20-Oct-20</t>
  </si>
  <si>
    <t>Date of SIV = 01-Feb-22</t>
  </si>
  <si>
    <t>Date of SIV = 01-Jan-19</t>
  </si>
  <si>
    <t>Commenced</t>
  </si>
  <si>
    <t>Vaccine Study</t>
  </si>
  <si>
    <t>UWA</t>
  </si>
  <si>
    <t>BB</t>
  </si>
  <si>
    <t>Reminder Feas</t>
  </si>
  <si>
    <t>Reminder CDA</t>
  </si>
  <si>
    <t>Reminder Study Details</t>
  </si>
  <si>
    <t>Reminder Site Selection</t>
  </si>
  <si>
    <t>Reminder recruitment</t>
  </si>
  <si>
    <t>Reminder CAHS</t>
  </si>
  <si>
    <t>Reminder Others</t>
  </si>
  <si>
    <t>Reminder PCH</t>
  </si>
  <si>
    <t>Reminder SJOG Mt Lawley</t>
  </si>
  <si>
    <t>Reminder SIV</t>
  </si>
  <si>
    <t>Cambridge1</t>
  </si>
  <si>
    <t>Teenagers between 12 yrs and 16 yrs</t>
  </si>
  <si>
    <t>Reminder VTG</t>
  </si>
  <si>
    <t>Date Received = 01-Nov-20
Date Sent Contracts = 01-Nov-20
Date Completed = 01-Jan-21</t>
  </si>
  <si>
    <t xml:space="preserve">Date Recv. Sponsor = 01-Mar-19
Date Sent Contracts = 04-Apr-19
Date Recv. Contracts = 06-Jul-19
Date Sent Sponsor = 08-Sep-19
Date Finalised = 09-Oct-19
</t>
  </si>
  <si>
    <t>Date Recv. = 01-Jan-20
Date Completed = 02-Feb-20; Glorious Godfrey</t>
  </si>
  <si>
    <t>Pre-study visit = 04-May-20; On-site
Valid. visit = 21-May-20; Virtual
Date Site Selected = 06-Jun-20</t>
  </si>
  <si>
    <t>Plan. Meeting = 13-Jun-20</t>
  </si>
  <si>
    <t>Others Complete</t>
  </si>
  <si>
    <t>Ethics Commitee = New Genesis Committee
Date Submitted = 20-Jun-20
Date Approved = 25-Jun-20</t>
  </si>
  <si>
    <t>Gov. Body = Fourth World
Date Submitted = 01-Jul-20
Date Responded = 06-Jul-20
Date Approved = 10-Jul-20</t>
  </si>
  <si>
    <t>Date Finalised = 13-Jul-20
Date Submitted Finance = 16-Jul-20
Date Approved = 20-Jul-20</t>
  </si>
  <si>
    <t>Date Approved = 25-Jul-20</t>
  </si>
  <si>
    <t>Date Quote Recv. = 31-Jul-20
Date PO Finalised = 04-Aug-20</t>
  </si>
  <si>
    <t>Date Received = 12-Aug-20
Date Sent Contracts = 15-Aug-20
Date Completed = 22-Aug-20</t>
  </si>
  <si>
    <t>Date Submitted R,G&amp;C = 25-Aug-20
Date UWA Review = 27-Aug-20
Date Finance Review = 30-Aug-20
Date COO/CFO Sign-off = 01-Sep-20
Date VTG Sign-off = 07-Sep-20
Date Subm. Company = 09-Sep-20
Date Finalised = 12-Sep-20</t>
  </si>
  <si>
    <t>Date Completed = 14-Sep-20</t>
  </si>
  <si>
    <t>Date of SIV = 20-Sep-20</t>
  </si>
  <si>
    <t xml:space="preserve">Date Recv. Sponsor = 31-Dec-19
Date Sent Contracts = 02-Jan-20
Date Recv. Contracts = 03-Jan-20
Date Sent Sponsor = 04-Jan-20
Date Finalised = 05-Jan-20
</t>
  </si>
  <si>
    <t>Date Recv. = 01-Feb-20
Date Completed = 05-Feb-20; BB</t>
  </si>
  <si>
    <t>Pre-study visit = 01-Mar-20; On-site
Valid. visit = 31-Mar-20; Virtual
Date Site Selected = 05-Apr-20</t>
  </si>
  <si>
    <t>Plan. Meeting = 01-Jan-20</t>
  </si>
  <si>
    <t>CAHS Complete</t>
  </si>
  <si>
    <t>Date Submitted = 01-Apr-20
Date Responded = 02-Apr-20
Date Resubmitted = 04-Apr-20
Date Approved = 05-Apr-20</t>
  </si>
  <si>
    <t>Ethics Commitee = Cambridge1
Date Submitted = 01-Jan-20
Date Approved = A
Reminder:
Reminder Others</t>
  </si>
  <si>
    <t>PCH Complete</t>
  </si>
  <si>
    <t>Date Submitted = 01-Jun-20
Date Responded = 05-Jun-20
Date Approved = 09-Jun-20</t>
  </si>
  <si>
    <t>Date Submitted = 01-Jul-20
Date Responded = 
Date Approved = 
Reminder:
Reminder SJOG Mt Lawley</t>
  </si>
  <si>
    <t>Date Finalised = 01-Jul-20
Date Submitted Finance = 01-Jul-20
Date Approved = 01-Aug-20</t>
  </si>
  <si>
    <t xml:space="preserve">Date Submitted R,G&amp;C = 01-Jan-20
Date UWA Review = 01-May-20
Date Finance Review = 01-Sep-20
Date COO/CFO Sign-off = 02-Jun-30
Date VTG Sign-off = 
Date Subm. Company = 
Date Finalised = </t>
  </si>
  <si>
    <t>Date of SIV = 11-Jan-22</t>
  </si>
  <si>
    <t>Data retrieved 29-Sep-2021 09:40 PM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</si>
</sst>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dd\-mmm\-yyyy\ hh:mm\ AM/PM"/>
    <numFmt numFmtId="165" formatCode="dd\-mmm\-yyyy\ hh:mm:ss\ AM/PM"/>
    <numFmt numFmtId="166" formatCode="d\-mmm\-yyyy"/>
    <numFmt numFmtId="167" formatCode="dd\-mmm\-yyyy\ hh:mm"/>
  </numFmts>
  <fonts count="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8"/>
      <name val="Calibri"/>
      <family val="2"/>
      <scheme val="minor"/>
    </font>
    <font>
      <b/>
      <u/>
      <sz val="14"/>
      <color theme="1"/>
      <name val="Calibri"/>
      <family val="2"/>
      <scheme val="minor"/>
    </font>
    <font>
      <b/>
      <u/>
      <sz val="13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rgb="FFFF9B9B"/>
        <bgColor indexed="64"/>
      </patternFill>
    </fill>
    <fill>
      <patternFill patternType="solid">
        <fgColor rgb="FFD1B2E8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6B0B0"/>
        <bgColor indexed="64"/>
      </patternFill>
    </fill>
    <fill>
      <patternFill patternType="solid">
        <fgColor rgb="FFC39BE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52">
    <xf numFmtId="0" fontId="0" fillId="0" borderId="0" xfId="0"/>
    <xf numFmtId="0" fontId="0" fillId="0" borderId="0" xfId="0" applyAlignment="1">
      <alignment horizontal="left" vertical="top"/>
    </xf>
    <xf numFmtId="0" fontId="0" fillId="0" borderId="0" xfId="0" applyAlignment="1">
      <alignment horizontal="left" vertical="top" wrapText="1"/>
    </xf>
    <xf numFmtId="0" fontId="1" fillId="0" borderId="0" xfId="0" applyFont="1" applyAlignment="1">
      <alignment vertical="top"/>
    </xf>
    <xf numFmtId="0" fontId="2" fillId="0" borderId="0" xfId="0" applyFont="1" applyAlignment="1">
      <alignment horizontal="left" vertical="top"/>
    </xf>
    <xf numFmtId="165" fontId="2" fillId="0" borderId="0" xfId="0" applyNumberFormat="1" applyFont="1" applyFill="1" applyAlignment="1">
      <alignment horizontal="left" vertical="top"/>
    </xf>
    <xf numFmtId="0" fontId="2" fillId="0" borderId="0" xfId="0" applyFont="1" applyFill="1" applyAlignment="1">
      <alignment horizontal="left" vertical="top"/>
    </xf>
    <xf numFmtId="0" fontId="2" fillId="4" borderId="0" xfId="0" applyFont="1" applyFill="1" applyAlignment="1">
      <alignment horizontal="left" vertical="top"/>
    </xf>
    <xf numFmtId="0" fontId="2" fillId="2" borderId="0" xfId="0" applyFont="1" applyFill="1" applyAlignment="1">
      <alignment horizontal="left" vertical="top"/>
    </xf>
    <xf numFmtId="0" fontId="0" fillId="0" borderId="0" xfId="0" applyFont="1" applyAlignment="1">
      <alignment horizontal="left" vertical="top"/>
    </xf>
    <xf numFmtId="165" fontId="2" fillId="5" borderId="0" xfId="0" applyNumberFormat="1" applyFont="1" applyFill="1" applyAlignment="1">
      <alignment horizontal="left" vertical="top"/>
    </xf>
    <xf numFmtId="0" fontId="2" fillId="5" borderId="0" xfId="0" applyFont="1" applyFill="1" applyAlignment="1">
      <alignment horizontal="left" vertical="top"/>
    </xf>
    <xf numFmtId="164" fontId="2" fillId="3" borderId="0" xfId="0" applyNumberFormat="1" applyFont="1" applyFill="1" applyAlignment="1">
      <alignment horizontal="left" vertical="top"/>
    </xf>
    <xf numFmtId="0" fontId="2" fillId="3" borderId="0" xfId="0" applyFont="1" applyFill="1" applyAlignment="1">
      <alignment horizontal="left" vertical="top"/>
    </xf>
    <xf numFmtId="164" fontId="2" fillId="2" borderId="0" xfId="0" applyNumberFormat="1" applyFont="1" applyFill="1" applyAlignment="1">
      <alignment horizontal="left" vertical="top"/>
    </xf>
    <xf numFmtId="0" fontId="2" fillId="0" borderId="0" xfId="0" applyNumberFormat="1" applyFont="1" applyFill="1" applyAlignment="1">
      <alignment horizontal="left" vertical="top"/>
    </xf>
    <xf numFmtId="0" fontId="1" fillId="0" borderId="0" xfId="0" applyFont="1" applyAlignment="1">
      <alignment horizontal="center" vertical="top"/>
    </xf>
    <xf numFmtId="20" fontId="0" fillId="0" borderId="0" xfId="0" applyNumberFormat="1" applyAlignment="1">
      <alignment horizontal="left" vertical="top"/>
    </xf>
    <xf numFmtId="20" fontId="0" fillId="0" borderId="0" xfId="0" applyNumberFormat="1" applyFont="1" applyAlignment="1">
      <alignment horizontal="left" vertical="top"/>
    </xf>
    <xf numFmtId="14" fontId="2" fillId="0" borderId="0" xfId="0" applyNumberFormat="1" applyFont="1" applyAlignment="1">
      <alignment horizontal="left" vertical="top"/>
    </xf>
    <xf numFmtId="0" fontId="4" fillId="0" borderId="0" xfId="0" applyFont="1"/>
    <xf numFmtId="0" fontId="0" fillId="6" borderId="1" xfId="0" applyFill="1" applyBorder="1"/>
    <xf numFmtId="0" fontId="0" fillId="7" borderId="1" xfId="0" applyFill="1" applyBorder="1"/>
    <xf numFmtId="0" fontId="1" fillId="0" borderId="0" xfId="0" applyFont="1" applyAlignment="1">
      <alignment wrapText="1"/>
    </xf>
    <xf numFmtId="0" fontId="0" fillId="0" borderId="0" xfId="0" applyBorder="1"/>
    <xf numFmtId="0" fontId="0" fillId="0" borderId="0" xfId="0" applyAlignment="1">
      <alignment vertical="top"/>
    </xf>
    <xf numFmtId="0" fontId="0" fillId="0" borderId="0" xfId="0" applyFont="1" applyFill="1" applyAlignment="1">
      <alignment horizontal="left" vertical="top" wrapText="1"/>
    </xf>
    <xf numFmtId="0" fontId="0" fillId="0" borderId="0" xfId="0" applyFont="1" applyFill="1" applyBorder="1" applyAlignment="1">
      <alignment horizontal="left" vertical="top" wrapText="1"/>
    </xf>
    <xf numFmtId="0" fontId="1" fillId="0" borderId="0" xfId="0" applyFont="1" applyAlignment="1">
      <alignment horizontal="center" vertical="center"/>
    </xf>
    <xf numFmtId="0" fontId="1" fillId="0" borderId="0" xfId="0" applyFont="1" applyBorder="1" applyAlignment="1">
      <alignment horizontal="center" vertical="center"/>
    </xf>
    <xf numFmtId="166" fontId="1" fillId="0" borderId="0" xfId="0" applyNumberFormat="1" applyFont="1" applyAlignment="1">
      <alignment horizontal="center" vertical="center" wrapText="1"/>
    </xf>
    <xf numFmtId="0" fontId="1" fillId="0" borderId="0" xfId="0" applyFont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0" fillId="0" borderId="0" xfId="0" applyFont="1" applyFill="1" applyAlignment="1">
      <alignment horizontal="left" vertical="top"/>
    </xf>
    <xf numFmtId="0" fontId="0" fillId="6" borderId="1" xfId="0" applyFont="1" applyFill="1" applyBorder="1" applyAlignment="1">
      <alignment horizontal="left" vertical="top" wrapText="1"/>
    </xf>
    <xf numFmtId="0" fontId="0" fillId="7" borderId="1" xfId="0" applyFont="1" applyFill="1" applyBorder="1" applyAlignment="1">
      <alignment horizontal="left" vertical="top" wrapText="1"/>
    </xf>
    <xf numFmtId="166" fontId="0" fillId="0" borderId="0" xfId="0" applyNumberFormat="1" applyFont="1" applyFill="1" applyAlignment="1">
      <alignment horizontal="left" vertical="top"/>
    </xf>
    <xf numFmtId="167" fontId="0" fillId="0" borderId="0" xfId="0" applyNumberFormat="1" applyFont="1" applyFill="1" applyAlignment="1">
      <alignment horizontal="left" vertical="top"/>
    </xf>
    <xf numFmtId="0" fontId="0" fillId="0" borderId="0" xfId="0" applyFont="1" applyAlignment="1">
      <alignment vertical="top"/>
    </xf>
    <xf numFmtId="0" fontId="0" fillId="0" borderId="0" xfId="0" applyBorder="1" applyAlignment="1">
      <alignment horizontal="left" vertical="top"/>
    </xf>
    <xf numFmtId="0" fontId="0" fillId="0" borderId="0" xfId="0" applyFont="1" applyFill="1" applyBorder="1" applyAlignment="1">
      <alignment horizontal="left" vertical="top"/>
    </xf>
    <xf numFmtId="0" fontId="2" fillId="8" borderId="0" xfId="0" applyFont="1" applyFill="1" applyAlignment="1">
      <alignment horizontal="left" vertical="top"/>
    </xf>
    <xf numFmtId="17" fontId="2" fillId="0" borderId="0" xfId="0" applyNumberFormat="1" applyFont="1" applyAlignment="1">
      <alignment horizontal="left" vertical="top"/>
    </xf>
    <xf numFmtId="14" fontId="0" fillId="0" borderId="0" xfId="0" applyNumberFormat="1" applyAlignment="1">
      <alignment horizontal="left" vertical="top"/>
    </xf>
    <xf numFmtId="0" fontId="0" fillId="0" borderId="0" xfId="0" applyNumberFormat="1" applyAlignment="1">
      <alignment horizontal="left" vertical="top"/>
    </xf>
    <xf numFmtId="14" fontId="0" fillId="0" borderId="0" xfId="0" applyNumberFormat="1" applyFont="1" applyAlignment="1">
      <alignment horizontal="left" vertical="top"/>
    </xf>
    <xf numFmtId="0" fontId="5" fillId="0" borderId="0" xfId="0" applyFont="1"/>
    <xf numFmtId="0" fontId="6" fillId="0" borderId="0" xfId="0" applyFont="1" applyAlignment="1">
      <alignment horizontal="center" vertical="center"/>
    </xf>
    <xf numFmtId="0" fontId="1" fillId="2" borderId="0" xfId="0" applyFont="1" applyFill="1" applyAlignment="1">
      <alignment horizontal="center" vertical="top"/>
    </xf>
    <xf numFmtId="0" fontId="1" fillId="5" borderId="0" xfId="0" applyFont="1" applyFill="1" applyAlignment="1">
      <alignment horizontal="center" vertical="top"/>
    </xf>
    <xf numFmtId="0" fontId="1" fillId="3" borderId="0" xfId="0" applyFont="1" applyFill="1" applyAlignment="1">
      <alignment horizontal="center" vertical="top"/>
    </xf>
    <xf numFmtId="0" fontId="1" fillId="0" borderId="0" xfId="0" applyFont="1" applyAlignment="1">
      <alignment horizontal="center" vertical="top"/>
    </xf>
  </cellXfs>
  <cellStyles count="1">
    <cellStyle name="Normal" xfId="0" builtinId="0"/>
  </cellStyles>
  <dxfs count="196">
    <dxf>
      <font>
        <b val="0"/>
      </font>
      <fill>
        <patternFill patternType="solid">
          <fgColor indexed="64"/>
          <bgColor rgb="FFF6B0B0"/>
        </patternFill>
      </fill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</font>
      <numFmt numFmtId="166" formatCode="d\-mmm\-yyyy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</font>
      <numFmt numFmtId="167" formatCode="dd\-mmm\-yyyy\ hh:mm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ill>
        <patternFill patternType="solid">
          <fgColor rgb="FFF6B0B0"/>
          <bgColor rgb="FF000000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dd\-mmm\-yyyy\ hh:mm:ss\ AM/PM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dd\-mmm\-yyyy\ hh:mm:ss\ AM/PM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dd\-mmm\-yyyy\ hh:mm:ss\ AM/PM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dd\-mmm\-yyyy\ hh:mm:ss\ AM/PM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dd\-mmm\-yyyy\ hh:mm:ss\ AM/PM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dd\-mmm\-yyyy\ hh:mm:ss\ AM/PM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dd\-mmm\-yyyy\ hh:mm:ss\ AM/PM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dd\-mmm\-yyyy\ hh:mm:ss\ AM/PM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dd\-mmm\-yyyy\ hh:mm:ss\ AM/PM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dd\-mmm\-yyyy\ hh:mm:ss\ AM/PM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dd\-mmm\-yyyy\ hh:mm:ss\ AM/PM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dd\-mmm\-yyyy\ hh:mm:ss\ AM/PM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dd\-mmm\-yyyy\ hh:mm:ss\ AM/PM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dd\-mmm\-yyyy\ hh:mm:ss\ AM/PM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7" tint="0.79998168889431442"/>
        </patternFill>
      </fill>
      <alignment horizontal="left" vertical="top" textRotation="0" wrapText="0" indent="0" justifyLastLine="0" shrinkToFit="0" readingOrder="0"/>
    </dxf>
  </dxfs>
  <tableStyles count="0" defaultTableStyle="TableStyleMedium2" defaultPivotStyle="PivotStyleLight16"/>
  <colors>
    <mruColors>
      <color rgb="FFC39BE1"/>
      <color rgb="FFFF9B9B"/>
      <color rgb="FFD1B2E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openxmlformats.org/officeDocument/2006/relationships/customXml" Target="../customXml/item4.xml"/><Relationship Id="rId5" Type="http://schemas.openxmlformats.org/officeDocument/2006/relationships/styles" Target="styles.xml"/><Relationship Id="rId10" Type="http://schemas.openxmlformats.org/officeDocument/2006/relationships/customXml" Target="../customXml/item3.xml"/><Relationship Id="rId4" Type="http://schemas.openxmlformats.org/officeDocument/2006/relationships/theme" Target="theme/theme1.xml"/><Relationship Id="rId9" Type="http://schemas.openxmlformats.org/officeDocument/2006/relationships/customXml" Target="../customXml/item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64770</xdr:colOff>
      <xdr:row>0</xdr:row>
      <xdr:rowOff>59055</xdr:rowOff>
    </xdr:from>
    <xdr:to>
      <xdr:col>1</xdr:col>
      <xdr:colOff>1800225</xdr:colOff>
      <xdr:row>2</xdr:row>
      <xdr:rowOff>20955</xdr:rowOff>
    </xdr:to>
    <xdr:sp macro="[0]!OpenForm.OpenForm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74F4F842-CA5F-454B-B695-B7CDD7B1C20C}"/>
            </a:ext>
          </a:extLst>
        </xdr:cNvPr>
        <xdr:cNvSpPr/>
      </xdr:nvSpPr>
      <xdr:spPr>
        <a:xfrm>
          <a:off x="64770" y="59055"/>
          <a:ext cx="1935480" cy="32385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AU" sz="1100" b="1"/>
            <a:t>Click Here to Open</a:t>
          </a:r>
          <a:r>
            <a:rPr lang="en-AU" sz="1100" b="1" baseline="0"/>
            <a:t> User Form</a:t>
          </a:r>
          <a:endParaRPr lang="en-AU" sz="1100" b="1"/>
        </a:p>
      </xdr:txBody>
    </xdr:sp>
    <xdr:clientData/>
  </xdr:twoCellAnchor>
  <xdr:twoCellAnchor>
    <xdr:from>
      <xdr:col>9</xdr:col>
      <xdr:colOff>520065</xdr:colOff>
      <xdr:row>0</xdr:row>
      <xdr:rowOff>26672</xdr:rowOff>
    </xdr:from>
    <xdr:to>
      <xdr:col>10</xdr:col>
      <xdr:colOff>750570</xdr:colOff>
      <xdr:row>1</xdr:row>
      <xdr:rowOff>47626</xdr:rowOff>
    </xdr:to>
    <xdr:sp macro="[0]!ExportCode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23477799-9039-4E83-9485-94CC1C9FDAF4}"/>
            </a:ext>
          </a:extLst>
        </xdr:cNvPr>
        <xdr:cNvSpPr/>
      </xdr:nvSpPr>
      <xdr:spPr>
        <a:xfrm>
          <a:off x="2729865" y="26672"/>
          <a:ext cx="1506855" cy="211454"/>
        </a:xfrm>
        <a:prstGeom prst="roundRect">
          <a:avLst/>
        </a:prstGeom>
        <a:solidFill>
          <a:schemeClr val="accent4"/>
        </a:solidFill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AU" sz="1100" b="1">
              <a:solidFill>
                <a:sysClr val="windowText" lastClr="000000"/>
              </a:solidFill>
            </a:rPr>
            <a:t>Click to Export Code</a:t>
          </a:r>
        </a:p>
      </xdr:txBody>
    </xdr:sp>
    <xdr:clientData/>
  </xdr:twoCellAnchor>
  <xdr:twoCellAnchor>
    <xdr:from>
      <xdr:col>0</xdr:col>
      <xdr:colOff>78105</xdr:colOff>
      <xdr:row>15</xdr:row>
      <xdr:rowOff>0</xdr:rowOff>
    </xdr:from>
    <xdr:to>
      <xdr:col>1</xdr:col>
      <xdr:colOff>1379220</xdr:colOff>
      <xdr:row>15</xdr:row>
      <xdr:rowOff>0</xdr:rowOff>
    </xdr:to>
    <xdr:sp macro="[0]!ImportCode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76FE526A-9903-4911-93CB-8BF5A3503511}"/>
            </a:ext>
          </a:extLst>
        </xdr:cNvPr>
        <xdr:cNvSpPr/>
      </xdr:nvSpPr>
      <xdr:spPr>
        <a:xfrm>
          <a:off x="78105" y="1074420"/>
          <a:ext cx="1501140" cy="321945"/>
        </a:xfrm>
        <a:prstGeom prst="roundRect">
          <a:avLst/>
        </a:prstGeom>
        <a:solidFill>
          <a:schemeClr val="accent6">
            <a:lumMod val="75000"/>
          </a:schemeClr>
        </a:solidFill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AU" sz="1100" b="1"/>
            <a:t>Click to Import Code</a:t>
          </a:r>
        </a:p>
      </xdr:txBody>
    </xdr:sp>
    <xdr:clientData/>
  </xdr:twoCellAnchor>
  <xdr:twoCellAnchor>
    <xdr:from>
      <xdr:col>10</xdr:col>
      <xdr:colOff>973455</xdr:colOff>
      <xdr:row>0</xdr:row>
      <xdr:rowOff>9525</xdr:rowOff>
    </xdr:from>
    <xdr:to>
      <xdr:col>11</xdr:col>
      <xdr:colOff>762000</xdr:colOff>
      <xdr:row>1</xdr:row>
      <xdr:rowOff>28575</xdr:rowOff>
    </xdr:to>
    <xdr:sp macro="[0]!ImportCode" textlink="">
      <xdr:nvSpPr>
        <xdr:cNvPr id="6" name="Rectangle: Rounded Corners 5">
          <a:extLst>
            <a:ext uri="{FF2B5EF4-FFF2-40B4-BE49-F238E27FC236}">
              <a16:creationId xmlns:a16="http://schemas.microsoft.com/office/drawing/2014/main" id="{06BEE8F6-CC09-474E-A49F-E5D0C4A1C8A5}"/>
            </a:ext>
          </a:extLst>
        </xdr:cNvPr>
        <xdr:cNvSpPr/>
      </xdr:nvSpPr>
      <xdr:spPr>
        <a:xfrm>
          <a:off x="4459605" y="9525"/>
          <a:ext cx="1512570" cy="209550"/>
        </a:xfrm>
        <a:prstGeom prst="roundRect">
          <a:avLst/>
        </a:prstGeom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AU" sz="1100" b="1">
              <a:solidFill>
                <a:sysClr val="windowText" lastClr="000000"/>
              </a:solidFill>
            </a:rPr>
            <a:t>Click to Import Code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600075</xdr:colOff>
      <xdr:row>1</xdr:row>
      <xdr:rowOff>171450</xdr:rowOff>
    </xdr:from>
    <xdr:to>
      <xdr:col>2</xdr:col>
      <xdr:colOff>1790700</xdr:colOff>
      <xdr:row>4</xdr:row>
      <xdr:rowOff>9525</xdr:rowOff>
    </xdr:to>
    <xdr:sp macro="[0]!Bring_Data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B691160F-FD6B-4F17-9B64-449FE76D7881}"/>
            </a:ext>
          </a:extLst>
        </xdr:cNvPr>
        <xdr:cNvSpPr/>
      </xdr:nvSpPr>
      <xdr:spPr>
        <a:xfrm>
          <a:off x="3886200" y="409575"/>
          <a:ext cx="1190625" cy="409575"/>
        </a:xfrm>
        <a:prstGeom prst="roundRect">
          <a:avLst/>
        </a:prstGeom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AU" sz="1100"/>
            <a:t>BRING IN DATA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BD2666A9-87E0-46EB-A037-D9EB94680FA7}" name="Register" displayName="Register" ref="D5:FD15" totalsRowShown="0" headerRowDxfId="195" dataDxfId="194">
  <tableColumns count="157">
    <tableColumn id="2" xr3:uid="{E7B8E3E7-876D-4E6F-8DB6-EF6D63439B27}" name="Date Entry Created" dataDxfId="193"/>
    <tableColumn id="3" xr3:uid="{3B5F919B-773E-47C5-BF9F-89E119924443}" name="User who Created Entry" dataDxfId="192"/>
    <tableColumn id="4" xr3:uid="{52C1C417-C52A-493E-89C7-EC47FA6A00DC}" name="Date Entry Deleted" dataDxfId="191"/>
    <tableColumn id="5" xr3:uid="{39C233C4-ADDB-4C9D-B737-5A0D8E1492BE}" name="User who Deleted Entry" dataDxfId="190"/>
    <tableColumn id="6" xr3:uid="{53729740-3F8D-4BAC-8FEC-59BDF6B2F443}" name="Date Entry Last Accessed" dataDxfId="189"/>
    <tableColumn id="7" xr3:uid="{DA0D4432-1F96-408E-9E20-0A93307325A9}" name="User who Last Accessed Entry" dataDxfId="188"/>
    <tableColumn id="8" xr3:uid="{6F0FF61C-C081-4935-8428-D4A47A4BBCB1}" name="Study Status" dataDxfId="187"/>
    <tableColumn id="9" xr3:uid="{C168B0E8-6B0E-4738-889B-03EE11931C45}" name="Protocol No." dataDxfId="186"/>
    <tableColumn id="10" xr3:uid="{62BEA025-DC58-429A-B106-10071F770F88}" name="Study Name" dataDxfId="185"/>
    <tableColumn id="11" xr3:uid="{A7B3BCB5-4CA7-47DC-90C2-9737F39C4784}" name="Study Sponsor" dataDxfId="184"/>
    <tableColumn id="12" xr3:uid="{1A28A6FA-BECD-4E0C-97EC-097A90AB4595}" name="Study CRO" dataDxfId="183"/>
    <tableColumn id="13" xr3:uid="{BDE3F8E5-FC27-4DAB-B793-A5713B6A05CB}" name="Age Range" dataDxfId="182"/>
    <tableColumn id="114" xr3:uid="{C3A7D0BB-FBFB-4222-A5F2-E44B2DBBE12D}" name="Study Details - Reminder Comments" dataDxfId="181"/>
    <tableColumn id="14" xr3:uid="{C5F3DA46-F052-48BE-94E3-59FE83081C77}" name="Study Details - Date Entry Last Updated" dataDxfId="180"/>
    <tableColumn id="15" xr3:uid="{903EEA94-3205-4F60-B1EA-1A80730E5B85}" name="Study Details - User who Last Updated Entry" dataDxfId="179"/>
    <tableColumn id="16" xr3:uid="{F5215BDF-02E1-45F9-88DD-0714639FAD8A}" name="Date CDA Received from Sponsor" dataDxfId="178"/>
    <tableColumn id="17" xr3:uid="{A8829C95-7D06-40EF-A721-FE939DC97EB9}" name="Date CDA sent to Contracts" dataDxfId="177"/>
    <tableColumn id="18" xr3:uid="{D859B066-7B5B-43EA-AD34-13EDE3C8CA7D}" name="Date CDA received from Contracts" dataDxfId="176"/>
    <tableColumn id="115" xr3:uid="{DADD424C-6CA0-4B5C-8566-00FE2C6B71F4}" name="Date CDA Sent to Sponsor" dataDxfId="175"/>
    <tableColumn id="19" xr3:uid="{139AA284-7F13-43A5-935F-106F82F10E17}" name="Date CDA Finalised" dataDxfId="174"/>
    <tableColumn id="122" xr3:uid="{B1B5C73C-4C57-4744-B9FB-FC81708CCC79}" name="CDA - Reminder Comments" dataDxfId="173"/>
    <tableColumn id="123" xr3:uid="{02E5F42B-2B00-4720-8545-D242CBC48F48}" name="CDA - Date Entry Last Updated" dataDxfId="172"/>
    <tableColumn id="124" xr3:uid="{4E7B4A14-1BA5-413A-89F2-1142F6EA0975}" name="CDA - User who Last Updated Entry" dataDxfId="171"/>
    <tableColumn id="20" xr3:uid="{00B938A1-5FA0-4259-AB48-59245BD5B96B}" name="Date Feasibility Received" dataDxfId="170"/>
    <tableColumn id="21" xr3:uid="{377F9082-7AC6-481E-8D5E-847514CBFAE2}" name="Date Feasibility Completed" dataDxfId="169"/>
    <tableColumn id="22" xr3:uid="{47126869-0590-4768-961B-E71134854875}" name="Completed By" dataDxfId="168"/>
    <tableColumn id="23" xr3:uid="{C1B1A656-AD56-419F-A6BA-82410BA6FB72}" name="Feasibility - Reminder Comments" dataDxfId="167"/>
    <tableColumn id="24" xr3:uid="{3298FCE0-DF1B-4163-AF5E-5856EF6A5797}" name="Feasibility - Date Entry Last Updated" dataDxfId="166"/>
    <tableColumn id="25" xr3:uid="{2A63CCD3-6A71-4165-B717-934BB9CEA00F}" name="Feasibility - User who Last Updated Entry" dataDxfId="165"/>
    <tableColumn id="26" xr3:uid="{AE8576F6-6F3A-4F8C-82F8-AED30A298B2C}" name="Pre-study Visit Date" dataDxfId="164"/>
    <tableColumn id="27" xr3:uid="{2513F984-57FD-4F89-AEF5-B11AB763DCA5}" name="Pre-study Visit Type" dataDxfId="163"/>
    <tableColumn id="28" xr3:uid="{F5EECCEE-20EC-402D-9A57-09CEA2247FF1}" name="Validation Visit Date" dataDxfId="162"/>
    <tableColumn id="29" xr3:uid="{6EF2D96C-7E36-48AE-9EE7-ED8EC82EDFF4}" name="Validation Visit Type" dataDxfId="161"/>
    <tableColumn id="30" xr3:uid="{51E11A76-451B-46A4-85A8-09E968D8AF8A}" name="Site Selection Date" dataDxfId="160"/>
    <tableColumn id="31" xr3:uid="{0F2B93F0-E2A3-444D-BC1E-1BC3A281076D}" name="Site Select - Reminder Comments" dataDxfId="159"/>
    <tableColumn id="32" xr3:uid="{A933B59E-36EB-4313-8833-770EAACAC06D}" name="Site Select - Date Entry Last Updated" dataDxfId="158"/>
    <tableColumn id="33" xr3:uid="{D562D6DF-BA87-48CC-8834-4FFA44DE6888}" name="Site Select - User who Last Updated Entry" dataDxfId="157"/>
    <tableColumn id="34" xr3:uid="{C024650E-D2B9-4914-AA95-97023111AD29}" name="Date of Planning Meeting" dataDxfId="156"/>
    <tableColumn id="36" xr3:uid="{74B76F35-6293-4966-8F03-9D16F8EE9633}" name="Recruitment - Reminder Comments" dataDxfId="155"/>
    <tableColumn id="37" xr3:uid="{459708C4-D1D4-40EF-A8A8-F079E3916192}" name="Recruitment - Date Entry Last Updated" dataDxfId="154"/>
    <tableColumn id="38" xr3:uid="{442EA66B-AAF5-4117-A5E1-21F93B6A6967}" name="Recruitment - User who Last Updated Entry" dataDxfId="153"/>
    <tableColumn id="39" xr3:uid="{9964B3C8-3D02-46EB-BDED-26C767EB4AC3}" name="CAHS  Ethics Review - Date Submitted" dataDxfId="152"/>
    <tableColumn id="40" xr3:uid="{26247281-2CB3-4883-AE24-B79420FC7AEE}" name="CAHS Ethics Review - Date Responded" dataDxfId="151"/>
    <tableColumn id="41" xr3:uid="{1EDE9511-F7C5-4A34-8867-BA0BF688A7AC}" name="CAHS Ethics Review - Date Resubmitted" dataDxfId="150"/>
    <tableColumn id="42" xr3:uid="{44AA9C42-401C-49EC-B29A-4A0D4296D637}" name="CAHS Ethics Review - Date Approved" dataDxfId="149"/>
    <tableColumn id="144" xr3:uid="{9BDA9C3D-23A1-4808-90C2-ADFCE1862D66}" name="CAHS Ethics Review - Reminder Comments" dataDxfId="148"/>
    <tableColumn id="43" xr3:uid="{798082B2-B03E-4B46-9A56-738B3B0F5E5A}" name="NMA Ethics Review - Ethics Committee Name" dataDxfId="147"/>
    <tableColumn id="44" xr3:uid="{2CB54EA0-B100-443E-B617-B4D691F38DCC}" name="NMA Ethics Review - Date Submitted" dataDxfId="146"/>
    <tableColumn id="45" xr3:uid="{F76C4994-5BC1-48EA-981A-39BD032C029E}" name="NMA Ethics Review - Date Approved" dataDxfId="145"/>
    <tableColumn id="145" xr3:uid="{33E02E59-C393-47A1-9C1D-95E2AD40AEDC}" name="NMA Ethics Review - Reminder Comments" dataDxfId="144"/>
    <tableColumn id="46" xr3:uid="{76E7AC61-E480-4261-A0AB-7E565019132E}" name="WNHS Ethics Review - Date Submitted" dataDxfId="143"/>
    <tableColumn id="47" xr3:uid="{86AF5B51-5617-486F-9B3A-57E302C39871}" name="WNHS Ethics Review - Date Approved" dataDxfId="142"/>
    <tableColumn id="146" xr3:uid="{BECCF7AC-666C-4193-BF7C-2FD2ECAA5FD3}" name="WNHS Ethics Review - Reminder Comments" dataDxfId="141"/>
    <tableColumn id="48" xr3:uid="{90FD63C9-46AA-40BA-9205-9E3460E0F3FE}" name="SJOG Ethics Review - Date Submitted" dataDxfId="140"/>
    <tableColumn id="49" xr3:uid="{31EE4506-BE3C-4091-B749-CD3ED9859A01}" name="SJOG Ethics Review - Date Approved" dataDxfId="139"/>
    <tableColumn id="147" xr3:uid="{5BFA60D1-902D-4F5A-8FF1-2CAC221A0E17}" name="SJOG Ethics Review - Reminder Comments" dataDxfId="138"/>
    <tableColumn id="50" xr3:uid="{BB79F0B0-58FA-41B6-A978-5F76858B4DA7}" name="Other Ethics Review - Ethics Committee Name" dataDxfId="137"/>
    <tableColumn id="51" xr3:uid="{F75D2536-4793-4BDC-BB7B-DA378B34C6B3}" name="Other Ethics Review - Date Submitted" dataDxfId="136"/>
    <tableColumn id="52" xr3:uid="{F769CB72-B86F-46DC-A286-CDCEBD740457}" name="Other Ethics Review - Date Approved" dataDxfId="135"/>
    <tableColumn id="148" xr3:uid="{288E50EF-D6AD-42DA-B55D-009E3FF77AEE}" name="Others Ethics Review - Reminder Comments" dataDxfId="134"/>
    <tableColumn id="54" xr3:uid="{C8C3DA21-4F24-49BB-912A-7D22EA189220}" name="Ethics - Date Entry Last Updated" dataDxfId="133"/>
    <tableColumn id="55" xr3:uid="{62C7921E-2056-435B-AB9B-E89ABF257981}" name="Ethics - User who Last Updated Entry" dataDxfId="132"/>
    <tableColumn id="56" xr3:uid="{0615EC98-9B6E-4944-A6FF-E88640C3193F}" name="PCH Gov. Review - Date Submitted" dataDxfId="131"/>
    <tableColumn id="57" xr3:uid="{D24239AB-E437-4E7F-A042-34905B1BC3B2}" name="PCH Gov. Review - Date Responded" dataDxfId="130"/>
    <tableColumn id="58" xr3:uid="{025D2BED-5811-407D-83F1-4D2039079103}" name="PCH Gov. Review - Date Approved" dataDxfId="129"/>
    <tableColumn id="149" xr3:uid="{FF16417D-5089-4AD5-B3F7-16462AA2F3E3}" name="PCH Gov. Review - Reminder Comments" dataDxfId="128"/>
    <tableColumn id="59" xr3:uid="{0A796D18-5B75-4C80-A92D-12A864CB9880}" name="TKI Gov. Review - Date Submitted" dataDxfId="127"/>
    <tableColumn id="60" xr3:uid="{4972A11A-0ED2-419B-8656-18ABCA58416C}" name="TKI Gov. Review - Date Responded" dataDxfId="126"/>
    <tableColumn id="61" xr3:uid="{88A687E1-8C73-413E-9601-62473B748106}" name="TKI Gov. Review - Date Approved" dataDxfId="125"/>
    <tableColumn id="150" xr3:uid="{9AD4C570-CC85-4B56-88C5-38A067CF6FE7}" name="TKI Gov. Review - Reminder Comments" dataDxfId="124"/>
    <tableColumn id="62" xr3:uid="{79F8CC08-2272-415D-BCF7-CF29FFB77D6B}" name="KEMH Gov. Review - Date Submitted" dataDxfId="123"/>
    <tableColumn id="63" xr3:uid="{3CB3BA88-D84A-48EA-B765-C3EEFF3AD46F}" name="KEMH Gov. Review - Date Responded" dataDxfId="122"/>
    <tableColumn id="64" xr3:uid="{4E3A6DA4-5C8C-4ED4-A9A0-ABFFE82391EB}" name="KEMH Gov. Review - Date Approved" dataDxfId="121"/>
    <tableColumn id="151" xr3:uid="{997B1773-B53E-434B-B0FD-D0B70B45AD75}" name="KEMH Gov. Review - Reminder Comments" dataDxfId="120"/>
    <tableColumn id="65" xr3:uid="{A443B807-D4EF-4494-BCF7-3B72E08694DC}" name="SJOG Subiaco Gov. Review - Date Submitted" dataDxfId="119"/>
    <tableColumn id="66" xr3:uid="{DD2922A4-7353-4C3E-9446-6B545F1B6A73}" name="SJOG Subiaco Gov. Review - Date Responded" dataDxfId="118"/>
    <tableColumn id="67" xr3:uid="{39EBD920-89C6-48C4-AA11-2202683C8421}" name="SJOG Subiaco Gov. Review - Date Approved" dataDxfId="117"/>
    <tableColumn id="152" xr3:uid="{9A235062-2CD0-4809-A067-C31DEEB8478C}" name="SJOG Subiaco Gov. Review - Reminder Comments" dataDxfId="116"/>
    <tableColumn id="68" xr3:uid="{630217EE-5B88-404C-A98D-66036539C9CF}" name="SJOG Mt Lawley Gov. Review - Date Submitted" dataDxfId="115"/>
    <tableColumn id="69" xr3:uid="{00123D1D-27B4-4B38-AE60-5BB9E8F89B05}" name="SJOG Mt Lawley Gov. Review - Date Responded" dataDxfId="114"/>
    <tableColumn id="70" xr3:uid="{BFB4ACA6-F32B-4157-A5AC-B4775E3641C4}" name="SJOG Mt Lawley Gov. Review - Date Approved" dataDxfId="113"/>
    <tableColumn id="153" xr3:uid="{A34B5CDD-7720-4799-9FC6-A3F07560FBAD}" name="SJOG Mt Lawley Gov. Review - Reminder Comments" dataDxfId="112"/>
    <tableColumn id="71" xr3:uid="{65824E65-5F62-40FF-B404-A77F41919759}" name="SJOG Murdoch Gov. Review - Date Submitted" dataDxfId="111"/>
    <tableColumn id="72" xr3:uid="{39B9CFDF-F020-40EE-9574-8F5E05CC59F5}" name="SJOG Murdoch Gov. Review - Date Responded" dataDxfId="110"/>
    <tableColumn id="73" xr3:uid="{79D673C6-9F43-4581-BADC-9143E00B486D}" name="SJOG Murdoch Gov. Review - Date Approved" dataDxfId="109"/>
    <tableColumn id="154" xr3:uid="{C64ECE7E-5D96-4D46-9EB3-0DA30C5B4782}" name="SJOG Murdoch Gov. Review - Reminder Comments" dataDxfId="108"/>
    <tableColumn id="74" xr3:uid="{6FCA8FAF-0DAB-4AD1-AAE4-304E922AFD9C}" name="Other Gov. Review - Governance Body" dataDxfId="107"/>
    <tableColumn id="75" xr3:uid="{6577E397-E046-4CE7-9285-A01130B0F798}" name="Other Gov. Review - Date Submitted" dataDxfId="106"/>
    <tableColumn id="76" xr3:uid="{58CB8C09-C7B6-4F45-BB52-CF8674AD811C}" name="Other Gov. Review - Date Responded" dataDxfId="105"/>
    <tableColumn id="77" xr3:uid="{D5C40437-C6D5-4D8D-B4CC-57B24B05A463}" name="Other Gov. Review - Date Approved" dataDxfId="104"/>
    <tableColumn id="155" xr3:uid="{AF2C1E44-101A-4660-AC4A-B6DA58F44F6A}" name="Others Gov. Review - Reminder Comments" dataDxfId="103"/>
    <tableColumn id="79" xr3:uid="{9A9461B3-2B66-4A3D-BF70-EB9B95DECD11}" name="Governance - Date Entry Last Updated" dataDxfId="102"/>
    <tableColumn id="80" xr3:uid="{626B8BE8-1541-4454-A8CE-47B0BD429392}" name="Governance - User who Last Updated Entry" dataDxfId="101"/>
    <tableColumn id="81" xr3:uid="{6B75C9B1-2352-42A5-82C3-B580E87FD170}" name="VTG Budget Review - Date Finalised" dataDxfId="100"/>
    <tableColumn id="82" xr3:uid="{75FFB480-BE64-4522-9C0F-57DD067606BB}" name="VTG Budget Review - Date Submitted to Finance" dataDxfId="99"/>
    <tableColumn id="83" xr3:uid="{68CA3BCD-DF78-40FA-8CF4-A445896AE8DA}" name="VTG Budget Review - Date Approved" dataDxfId="98"/>
    <tableColumn id="156" xr3:uid="{7EF262DA-5754-4863-A852-2F131616C45E}" name="VTG Budget Review - Reminder Comments" dataDxfId="97"/>
    <tableColumn id="84" xr3:uid="{8FFCDE2C-2733-42BB-A35B-D69164207B06}" name="TKI Budget Review - Date Approved" dataDxfId="96"/>
    <tableColumn id="157" xr3:uid="{0E648BCC-4A2D-4EC2-9879-3C367DB71226}" name="TKI Budget Review - Reminder Comments" dataDxfId="95"/>
    <tableColumn id="85" xr3:uid="{6AFD5E5C-93F2-4A4D-A7CB-AD5951CED9C8}" name="Pharmacy Budget Review - Date Quote Received" dataDxfId="94"/>
    <tableColumn id="86" xr3:uid="{A844F452-F561-4298-B42D-2C6B75451D2B}" name="Pharmacy Budget Review - Date PO Finalised" dataDxfId="93"/>
    <tableColumn id="158" xr3:uid="{D0607939-1828-48CB-B6AA-A112FFECFF24}" name="Pharmacy Budget Review - Reminder Comments" dataDxfId="92"/>
    <tableColumn id="88" xr3:uid="{9F78CF46-4D6F-4F2F-85F7-C44117D22BE2}" name="Budget - Date Entry Last Updated" dataDxfId="91"/>
    <tableColumn id="89" xr3:uid="{661FB2C1-04FC-4E59-8AC5-EA5880B60C62}" name="Budget - User who Last Updated Entry" dataDxfId="90"/>
    <tableColumn id="90" xr3:uid="{7D4600DF-25C0-477B-804F-C7731C44FAF0}" name="Indemnity Review - Date Received" dataDxfId="89"/>
    <tableColumn id="91" xr3:uid="{BBBBD697-C807-4E80-B22D-5AB877D128B9}" name="Indemnity Review - Date Sent to Contracts" dataDxfId="88"/>
    <tableColumn id="92" xr3:uid="{8D0E79C2-3325-4CF4-9795-4574111719D7}" name="Indemnity Review - Date Completed" dataDxfId="87"/>
    <tableColumn id="93" xr3:uid="{F78413AA-3BCC-4AFC-93E9-752DB0D6EE7F}" name="Indemnity - Reminder Comments" dataDxfId="86"/>
    <tableColumn id="94" xr3:uid="{FCF2F161-8C62-4199-A427-36C7423EC4D2}" name="Indemnity - Date Entry Last Updated" dataDxfId="85"/>
    <tableColumn id="95" xr3:uid="{B46611FA-EB79-4C3B-BFE5-40930639DD40}" name="Indemnity - User who Last Updated Entry" dataDxfId="84"/>
    <tableColumn id="96" xr3:uid="{8D1B4908-F483-49FE-91DB-1E1975636120}" name="CTRA - Date submitted to Research, Gov. &amp; Contracts" dataDxfId="83"/>
    <tableColumn id="97" xr3:uid="{562497F3-5849-45D8-AF12-2C1ED56732F1}" name="CTRA - Date of UWA Review" dataDxfId="82"/>
    <tableColumn id="98" xr3:uid="{BA1BB81E-4EF2-437A-9AD0-EC02033CC8F5}" name="CTRA - Date of Finance Review &amp; Approval" dataDxfId="81"/>
    <tableColumn id="99" xr3:uid="{2A96554F-29DD-42AB-A725-F4B6D4F90979}" name="CTRA - Date of COO / CFO sign-off" dataDxfId="80"/>
    <tableColumn id="100" xr3:uid="{22222C86-17E0-4549-BFE8-D7F10210EDC5}" name="CTRA - Date of VTG sign-off" dataDxfId="79"/>
    <tableColumn id="101" xr3:uid="{C797BCD9-1E56-4B88-ADAD-48FAAF88EF70}" name="CTRA - Date of submission to Company" dataDxfId="78"/>
    <tableColumn id="102" xr3:uid="{8A03AEAE-CEB4-42E9-8C7E-A7A974E85A39}" name="CTRA - Date Finalised" dataDxfId="77"/>
    <tableColumn id="103" xr3:uid="{585067F2-0DD8-4AC8-9958-7149C564015B}" name="CTRA - Reminder Comments" dataDxfId="76"/>
    <tableColumn id="104" xr3:uid="{91B30194-C36B-4490-B356-0BFF07DB46DB}" name="CTRA - Date Entry Last Updated" dataDxfId="75"/>
    <tableColumn id="105" xr3:uid="{7579B37E-01CB-44D3-8336-F43826DBAE1D}" name="CTRA - User who Last Updated Entry" dataDxfId="74"/>
    <tableColumn id="106" xr3:uid="{AB9F4B42-B713-4DF1-B852-3F96AB72776F}" name="Date Financial Disclosure Completed" dataDxfId="73"/>
    <tableColumn id="107" xr3:uid="{157206C9-8BC6-4229-A2E6-C6E94F204C07}" name="Fin. Disc. - Reminder Comments" dataDxfId="72"/>
    <tableColumn id="108" xr3:uid="{7531B9AB-7FE6-4349-AAD5-799FB1253501}" name="Fin. Disc. - Date Entry Last Updated" dataDxfId="71"/>
    <tableColumn id="109" xr3:uid="{7FA74446-EA0A-4529-8772-08A4EDF68C7F}" name="Fin. Disc. - User who Last Updated Entry" dataDxfId="70"/>
    <tableColumn id="110" xr3:uid="{DD9F3EB9-59A2-4EAF-A925-8F55ACD8417F}" name="Date of Site Initiation Visit" dataDxfId="69"/>
    <tableColumn id="111" xr3:uid="{6818FC6B-B8AD-4B1D-8844-94D5C2E53D03}" name="SIV - Reminder Comments" dataDxfId="68"/>
    <tableColumn id="112" xr3:uid="{DDD987A1-CA15-4B6D-817F-D4D84B94F758}" name="SIV - Date Entry Last Updated" dataDxfId="67"/>
    <tableColumn id="113" xr3:uid="{3E4DD0DD-9BDA-4CA8-8A38-D3205AB533E3}" name="SIV - User who Last Updated Entry" dataDxfId="66"/>
    <tableColumn id="116" xr3:uid="{7796515B-70C0-44B5-AC23-3B8D8118C024}" name="Study Details Complete" dataDxfId="65"/>
    <tableColumn id="117" xr3:uid="{9EEB8B23-A4CB-4351-BA34-28B875CA5BC9}" name="CDA Complete" dataDxfId="64"/>
    <tableColumn id="118" xr3:uid="{EEAF9685-FF58-4299-8AC9-70EAA41D7867}" name="FS Complete" dataDxfId="63"/>
    <tableColumn id="119" xr3:uid="{5A71745D-F91F-430E-85CB-6A3ADD0FB772}" name="Site Selection Complete" dataDxfId="62"/>
    <tableColumn id="120" xr3:uid="{51A43A1E-C977-4D5A-AB3B-B853BC3664B2}" name="Recruitment Complete" dataDxfId="61"/>
    <tableColumn id="125" xr3:uid="{5335C76C-7C49-4E93-8894-36BD0B1E9804}" name="Ethics - CAHS Complete" dataDxfId="60"/>
    <tableColumn id="126" xr3:uid="{6151F69C-D5F9-4128-A8E3-E444A31C4646}" name="Ethics - NMA Complete" dataDxfId="59"/>
    <tableColumn id="127" xr3:uid="{9815D2CB-7014-4939-A39D-D99E35ADF880}" name="Ethics - WNHS Complete" dataDxfId="58"/>
    <tableColumn id="128" xr3:uid="{C5816B87-1D9E-443D-B71D-EF2D56B064FF}" name="Ethics - SJOG Complete" dataDxfId="57"/>
    <tableColumn id="129" xr3:uid="{53DFFA91-EBD7-414F-B499-00141C01A736}" name="Ethics - Others Complete" dataDxfId="56"/>
    <tableColumn id="130" xr3:uid="{6DEF5359-846A-472E-944D-281B57926E62}" name="Gov - PCH Complete" dataDxfId="55"/>
    <tableColumn id="121" xr3:uid="{5BA4DB4D-271A-4BB3-94C9-A78D01150788}" name="Gov - TKI Complete" dataDxfId="54"/>
    <tableColumn id="131" xr3:uid="{C9A3CA08-C8A7-4291-92C9-705C74D485AD}" name="Gov - KEMH Complete" dataDxfId="53"/>
    <tableColumn id="132" xr3:uid="{873FD3D8-F030-49F1-A92C-6E32C445C899}" name="Gov - SJOG Subiaco Complete" dataDxfId="52"/>
    <tableColumn id="133" xr3:uid="{B8FF200A-00A6-4130-B768-491439CBFBE7}" name="Gov - SJOG Mt Lawley Complete" dataDxfId="51"/>
    <tableColumn id="134" xr3:uid="{13941F44-D716-4592-BC82-B255BE12E60C}" name="Gov - SJOG Murdoch Complete" dataDxfId="50"/>
    <tableColumn id="135" xr3:uid="{65C1857A-EC53-4A30-8B4D-8610A2522D10}" name="Gov - Others Complete" dataDxfId="49"/>
    <tableColumn id="136" xr3:uid="{E474FC60-EFC4-474D-9C31-CEF1A05FD126}" name="Budget - VTG Complete" dataDxfId="48"/>
    <tableColumn id="137" xr3:uid="{A1CA2D0C-A904-4071-916A-3EA32C06434B}" name="Budget - TKI Complete" dataDxfId="47"/>
    <tableColumn id="138" xr3:uid="{9906220F-039C-40DA-AA46-ECC109B914AD}" name="Budget - Pharmacy Complete" dataDxfId="46"/>
    <tableColumn id="139" xr3:uid="{A08FFA89-66DB-4DD3-BDF6-36DB93440443}" name="Indemnity Complete" dataDxfId="45"/>
    <tableColumn id="140" xr3:uid="{B66F3B52-4D1F-4A39-87B7-4E9740B05ACD}" name="CTRA Complete" dataDxfId="44"/>
    <tableColumn id="141" xr3:uid="{0F417A9F-84AB-492F-878B-EE38BA61D4C8}" name="Fin Disc Complete" dataDxfId="43"/>
    <tableColumn id="142" xr3:uid="{86AF2DD4-CDD5-49D8-99CF-C0B75D633343}" name="SIV Complete" dataDxfId="42"/>
    <tableColumn id="53" xr3:uid="{8B387D3A-A5E5-4E45-86F9-DE7899DB64F9}" name="Overall Ethics" dataDxfId="41">
      <calculatedColumnFormula>IF(COUNTA(Register[[#This Row],[Ethics - CAHS Complete]:[Ethics - Others Complete]])=0, "",IF(COUNTIF(Register[[#This Row],[Ethics - CAHS Complete]:[Ethics - Others Complete]],TRUE)&gt;0,TRUE,FALSE))</calculatedColumnFormula>
    </tableColumn>
    <tableColumn id="35" xr3:uid="{3E2A2F63-9A22-47B9-97ED-C171D2182E53}" name="Overall Governance" dataDxfId="40">
      <calculatedColumnFormula>IF(COUNTA(Register[[#This Row],[Gov - PCH Complete]:[Gov - Others Complete]])=0,"",IF(COUNTIF(Register[[#This Row],[Gov - PCH Complete]:[Gov - Others Complete]],TRUE)&gt;0,TRUE,FALSE))</calculatedColumnFormula>
    </tableColumn>
    <tableColumn id="78" xr3:uid="{DECCD8B5-9C49-4AFE-80BE-D8B7959F2438}" name="Overall Budget" dataDxfId="39">
      <calculatedColumnFormula>IF(COUNTA(Register[[#This Row],[Budget - VTG Complete]:[Budget - Pharmacy Complete]])=0,"",IF(COUNTIF(Register[[#This Row],[Budget - VTG Complete]:[Budget - Pharmacy Complete]],TRUE)=3,TRUE,FALSE))</calculatedColumnFormula>
    </tableColumn>
    <tableColumn id="1" xr3:uid="{B91B003B-F3C0-47B0-8525-28AEA2164F6C}" name="Overall Study" dataDxfId="38">
      <calculatedColumnFormula>IF(AND(Register[[#This Row],[Study Details Complete]]=TRUE,Register[[#This Row],[CDA Complete]]=TRUE,Register[[#This Row],[FS Complete]]=TRUE,Register[[#This Row],[Site Selection Complete]]=TRUE,Register[[#This Row],[Recruitment Complete]]=TRUE,Register[[#This Row],[Overall Ethics]]=TRUE,Register[[#This Row],[Overall Governance]]=TRUE,Register[[#This Row],[Budget - VTG Complete]]=TRUE,Register[[#This Row],[Budget - TKI Complete]]=TRUE,Register[[#This Row],[Budget - Pharmacy Complete]]=TRUE,Register[[#This Row],[Indemnity Complete]]=TRUE,Register[[#This Row],[CTRA Complete]]=TRUE,Register[[#This Row],[Fin Disc Complete]]=TRUE,Register[[#This Row],[SIV Complete]]=TRUE),TRUE,FALSE)</calculatedColumnFormula>
    </tableColumn>
    <tableColumn id="143" xr3:uid="{913EC14F-DFDE-47C6-8878-E25A3F13CB44}" name="Fast Cycle Location" dataDxfId="37">
      <calculatedColumnFormula>IFERROR(MATCH(FALSE,Register[[#This Row],[Study Details Complete]:[SIV Complete]],0),1)</calculatedColumnFormula>
    </tableColumn>
  </tableColumns>
  <tableStyleInfo name="TableStyleLight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BF71FA0D-A2B7-482A-A023-A60E304F8E05}" name="Report" displayName="Report" ref="A8:AH17" totalsRowShown="0" headerRowDxfId="36" dataDxfId="34">
  <autoFilter ref="A8:AH17" xr:uid="{F456AC9D-7704-49A5-9205-9A7479E6BB27}"/>
  <sortState xmlns:xlrd2="http://schemas.microsoft.com/office/spreadsheetml/2017/richdata2" ref="A9:AH9">
    <sortCondition sortBy="cellColor" ref="H8:H9" dxfId="35"/>
  </sortState>
  <tableColumns count="34">
    <tableColumn id="1" xr3:uid="{029E10D2-95CB-4A6C-A47D-5641AC7A0055}" name="Study Status" dataDxfId="0"/>
    <tableColumn id="2" xr3:uid="{C49E588C-C4DE-45DE-88D5-8AC662409270}" name="Date Created" dataDxfId="1"/>
    <tableColumn id="4" xr3:uid="{831920DE-86BC-4898-81E1-AFFE932379B9}" name="Study Name" dataDxfId="33"/>
    <tableColumn id="3" xr3:uid="{C89F95A8-564E-4403-ADDA-D618383A4E30}" name="Date Last Updated" dataDxfId="32"/>
    <tableColumn id="5" xr3:uid="{DBB29CFB-ACDE-4E61-9041-3A6725ECBB27}" name="Protocol Number" dataDxfId="31"/>
    <tableColumn id="6" xr3:uid="{797AA5C8-8301-4F2C-B556-C53458E6016A}" name="Sponsor" dataDxfId="30"/>
    <tableColumn id="7" xr3:uid="{748046CD-22D1-4C98-8DE3-13B23900F208}" name="CRO" dataDxfId="29"/>
    <tableColumn id="8" xr3:uid="{38F62305-511B-4EAD-9BDD-0022F8DC6DAA}" name="Age Range / Reminder" dataDxfId="28"/>
    <tableColumn id="9" xr3:uid="{698728C0-A3C6-4D45-80A4-E160B8579B34}" name="CDA" dataDxfId="27"/>
    <tableColumn id="10" xr3:uid="{D7B7B8B1-BF7A-4A91-ADD1-2CB3C730B1C0}" name="Feasibility" dataDxfId="26"/>
    <tableColumn id="11" xr3:uid="{D85A0B2B-DDF0-4AC3-A45A-14BE5D41416C}" name="Site Selection" dataDxfId="25"/>
    <tableColumn id="12" xr3:uid="{A585822F-A959-43D7-A424-A352E75F0954}" name="Recruitment Plan" dataDxfId="24"/>
    <tableColumn id="13" xr3:uid="{A50841ED-F2DD-44DB-930B-FD81AB2D7F3A}" name="Overall Ethics Approval" dataDxfId="23"/>
    <tableColumn id="14" xr3:uid="{3672012C-48E1-419C-B55B-23BB64AE6630}" name="CAHS Ethics Approval" dataDxfId="22"/>
    <tableColumn id="15" xr3:uid="{70445A27-BE6C-46C3-840C-A0065A95B092}" name="NMA Ethics Approval" dataDxfId="21"/>
    <tableColumn id="16" xr3:uid="{7D837278-B6BA-4B88-9FC0-A216926910A6}" name="WNHS Ethics Approval" dataDxfId="20"/>
    <tableColumn id="17" xr3:uid="{BCF683F3-0404-4D41-B20B-A0B5568F1A71}" name="SJOG Ethics Approval" dataDxfId="19"/>
    <tableColumn id="18" xr3:uid="{D761C224-84DB-4A19-A5DE-A0FED02242EA}" name="Others Ethics Approval" dataDxfId="18"/>
    <tableColumn id="19" xr3:uid="{20837BA9-29D0-4811-9FB7-2D6B5D622895}" name="Overall Governance Approval" dataDxfId="17"/>
    <tableColumn id="20" xr3:uid="{EF20339A-2979-4A87-90D2-747954CEAB85}" name="PCH Governance Approval" dataDxfId="16"/>
    <tableColumn id="21" xr3:uid="{70B43F0F-6BCD-481B-AE6F-3FB8E581C9FC}" name="TKI Governance Approval" dataDxfId="15"/>
    <tableColumn id="22" xr3:uid="{3599AB99-9AB4-4B40-9179-C6A5293BDC33}" name="KEMH Governance Approval" dataDxfId="14"/>
    <tableColumn id="23" xr3:uid="{A6D56650-2AE0-4EFB-AFE1-C6E750A07789}" name="SJOG Subiaco Gov. Approval" dataDxfId="13"/>
    <tableColumn id="24" xr3:uid="{5D7B2183-EA74-4B58-97D5-37B39713E12B}" name="SJOG Mt Lawley Gov. Approval" dataDxfId="12"/>
    <tableColumn id="25" xr3:uid="{72FD141E-3D6C-4F9F-BB49-6E5C1486E59D}" name="SJOG Murdoch Gov. Approval" dataDxfId="11"/>
    <tableColumn id="26" xr3:uid="{87E41995-0250-481D-9B0B-127CB14DF101}" name="Others Governance Approval" dataDxfId="10"/>
    <tableColumn id="28" xr3:uid="{802E393F-5F08-438F-A004-2797CBDC916C}" name="Overall Budget Approval" dataDxfId="9"/>
    <tableColumn id="29" xr3:uid="{48942A0D-04A4-4AA4-B0FA-0BCC4794A86F}" name="VTG Budget Approval" dataDxfId="8"/>
    <tableColumn id="30" xr3:uid="{2BF2686A-593C-48E2-A4EC-5A543E823C91}" name="TKI Budget Approval" dataDxfId="7"/>
    <tableColumn id="31" xr3:uid="{E8F3A721-A4AD-4D0A-9090-CF01FFA27211}" name="Pharmacy Quotation" dataDxfId="6"/>
    <tableColumn id="27" xr3:uid="{05AF522F-6AC7-4443-89A1-48B670B86CEF}" name="Indemnity" dataDxfId="5"/>
    <tableColumn id="32" xr3:uid="{5AC8E1DB-6C96-4851-9276-8131F5D9D6B1}" name="CTRA" dataDxfId="4"/>
    <tableColumn id="33" xr3:uid="{F3FAABC5-44EB-456B-96CF-1558F99C073F}" name="Financial Disclosure" dataDxfId="3"/>
    <tableColumn id="34" xr3:uid="{71268665-458F-45C4-B8D1-01BF5A88F4CE}" name="SIV" dataDxfId="2"/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97DA1D-18E5-43A5-8852-828FC1E3F02E}">
  <sheetPr codeName="Sheet1"/>
  <dimension ref="A1"/>
  <sheetViews>
    <sheetView workbookViewId="0">
      <selection activeCell="E7" sqref="E7"/>
    </sheetView>
  </sheetViews>
  <sheetFormatPr defaultRowHeight="15" x14ac:dyDescent="0.25"/>
  <sheetData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599FF1-0C77-4A74-B7BA-9C9E8E56A316}">
  <sheetPr codeName="Sheet2">
    <tabColor rgb="FF92D050"/>
  </sheetPr>
  <dimension ref="D2:FD21"/>
  <sheetViews>
    <sheetView tabSelected="1" zoomScaleNormal="100" workbookViewId="0">
      <pane xSplit="9" ySplit="5" topLeftCell="EV6" activePane="bottomRight" state="frozen"/>
      <selection pane="topRight" activeCell="J1" sqref="J1"/>
      <selection pane="bottomLeft" activeCell="A6" sqref="A6"/>
      <selection pane="bottomRight" activeCell="EZ24" sqref="EZ24"/>
    </sheetView>
  </sheetViews>
  <sheetFormatPr defaultColWidth="9.140625" defaultRowHeight="15" outlineLevelRow="1" outlineLevelCol="2" x14ac:dyDescent="0.25"/>
  <cols>
    <col min="1" max="1" width="2.85546875" style="1" customWidth="1"/>
    <col min="2" max="2" width="27.42578125" style="1" customWidth="1"/>
    <col min="3" max="3" width="2.85546875" style="1" customWidth="1"/>
    <col min="4" max="4" width="23.28515625" style="1" hidden="1" customWidth="1" outlineLevel="1"/>
    <col min="5" max="5" width="22.7109375" style="2" hidden="1" customWidth="1" outlineLevel="1"/>
    <col min="6" max="6" width="23.28515625" style="2" hidden="1" customWidth="1" outlineLevel="1"/>
    <col min="7" max="7" width="23.85546875" style="1" hidden="1" customWidth="1" outlineLevel="1"/>
    <col min="8" max="8" width="28.140625" style="2" hidden="1" customWidth="1" outlineLevel="1"/>
    <col min="9" max="9" width="13.42578125" style="1" hidden="1" customWidth="1" outlineLevel="1" collapsed="1"/>
    <col min="10" max="10" width="19.140625" style="1" customWidth="1" collapsed="1"/>
    <col min="11" max="11" width="25.85546875" style="1" customWidth="1"/>
    <col min="12" max="12" width="44.7109375" style="1" customWidth="1"/>
    <col min="13" max="13" width="21.28515625" style="1" customWidth="1"/>
    <col min="14" max="14" width="17.85546875" style="1" customWidth="1"/>
    <col min="15" max="15" width="31.140625" style="1" customWidth="1"/>
    <col min="16" max="16" width="31.140625" style="1" hidden="1" customWidth="1" outlineLevel="1"/>
    <col min="17" max="17" width="35.28515625" style="1" hidden="1" customWidth="1" outlineLevel="2"/>
    <col min="18" max="18" width="40.5703125" style="1" hidden="1" customWidth="1" outlineLevel="2" collapsed="1"/>
    <col min="19" max="19" width="34.28515625" style="1" customWidth="1" collapsed="1"/>
    <col min="20" max="20" width="32" style="1" customWidth="1"/>
    <col min="21" max="21" width="32.28515625" style="1" bestFit="1" customWidth="1"/>
    <col min="22" max="22" width="25.28515625" style="1" bestFit="1" customWidth="1"/>
    <col min="23" max="23" width="29.85546875" style="1" customWidth="1"/>
    <col min="24" max="26" width="29.85546875" style="1" hidden="1" customWidth="1" outlineLevel="1"/>
    <col min="27" max="27" width="31.5703125" style="1" customWidth="1" collapsed="1"/>
    <col min="28" max="28" width="34" style="1" customWidth="1"/>
    <col min="29" max="29" width="32.85546875" style="1" customWidth="1"/>
    <col min="30" max="30" width="31.140625" style="1" hidden="1" customWidth="1" outlineLevel="1"/>
    <col min="31" max="31" width="35.28515625" style="1" hidden="1" customWidth="1" outlineLevel="1"/>
    <col min="32" max="32" width="20" style="1" hidden="1" customWidth="1" outlineLevel="1"/>
    <col min="33" max="33" width="20.140625" style="1" customWidth="1" collapsed="1"/>
    <col min="34" max="34" width="20.5703125" style="1" customWidth="1"/>
    <col min="35" max="35" width="20.7109375" style="1" customWidth="1"/>
    <col min="36" max="36" width="19.28515625" style="1" customWidth="1"/>
    <col min="37" max="37" width="28.7109375" style="1" customWidth="1"/>
    <col min="38" max="38" width="31.140625" style="1" hidden="1" customWidth="1" outlineLevel="1"/>
    <col min="39" max="39" width="35.28515625" style="1" hidden="1" customWidth="1" outlineLevel="1"/>
    <col min="40" max="40" width="24.85546875" style="1" hidden="1" customWidth="1" outlineLevel="1"/>
    <col min="41" max="41" width="24" style="1" bestFit="1" customWidth="1" collapsed="1"/>
    <col min="42" max="42" width="32.7109375" style="1" hidden="1" customWidth="1" outlineLevel="1"/>
    <col min="43" max="43" width="36.7109375" style="1" hidden="1" customWidth="1" outlineLevel="1"/>
    <col min="44" max="44" width="35.140625" style="1" hidden="1" customWidth="1" outlineLevel="1"/>
    <col min="45" max="45" width="35.42578125" style="1" customWidth="1" collapsed="1"/>
    <col min="46" max="46" width="36.7109375" style="1" customWidth="1"/>
    <col min="47" max="47" width="34.28515625" style="1" customWidth="1"/>
    <col min="48" max="49" width="41.7109375" style="1" customWidth="1"/>
    <col min="50" max="50" width="34.5703125" style="1" customWidth="1"/>
    <col min="51" max="51" width="34" style="1" customWidth="1"/>
    <col min="52" max="53" width="35.7109375" style="1" customWidth="1"/>
    <col min="54" max="54" width="35.140625" style="1" customWidth="1"/>
    <col min="55" max="56" width="34.5703125" style="1" customWidth="1"/>
    <col min="57" max="57" width="34" style="1" customWidth="1"/>
    <col min="58" max="58" width="42.28515625" style="1" bestFit="1" customWidth="1"/>
    <col min="59" max="59" width="42.28515625" style="1" customWidth="1"/>
    <col min="60" max="60" width="35.140625" style="1" customWidth="1"/>
    <col min="61" max="61" width="34.5703125" style="1" customWidth="1"/>
    <col min="62" max="63" width="30.28515625" style="1" customWidth="1"/>
    <col min="64" max="64" width="36.7109375" style="1" hidden="1" customWidth="1" outlineLevel="1"/>
    <col min="65" max="65" width="32.7109375" style="1" hidden="1" customWidth="1" outlineLevel="1"/>
    <col min="66" max="66" width="33.28515625" style="1" customWidth="1" collapsed="1"/>
    <col min="67" max="67" width="32.140625" style="1" customWidth="1"/>
    <col min="68" max="69" width="31.7109375" style="1" customWidth="1"/>
    <col min="70" max="70" width="32.5703125" style="1" customWidth="1"/>
    <col min="71" max="71" width="31.28515625" style="1" customWidth="1"/>
    <col min="72" max="73" width="34.28515625" style="1" customWidth="1"/>
    <col min="74" max="74" width="35" style="1" customWidth="1"/>
    <col min="75" max="75" width="33.7109375" style="1" customWidth="1"/>
    <col min="76" max="77" width="40.7109375" style="1" customWidth="1"/>
    <col min="78" max="78" width="41.42578125" style="1" customWidth="1"/>
    <col min="79" max="79" width="40.140625" style="1" customWidth="1"/>
    <col min="80" max="81" width="42.85546875" style="1" customWidth="1"/>
    <col min="82" max="82" width="43.7109375" style="1" customWidth="1"/>
    <col min="83" max="83" width="42.28515625" style="1" customWidth="1"/>
    <col min="84" max="85" width="41.7109375" style="1" customWidth="1"/>
    <col min="86" max="86" width="42.5703125" style="1" customWidth="1"/>
    <col min="87" max="87" width="41.28515625" style="1" customWidth="1"/>
    <col min="88" max="89" width="35.85546875" style="1" customWidth="1"/>
    <col min="90" max="90" width="34.28515625" style="1" customWidth="1"/>
    <col min="91" max="91" width="34.85546875" style="1" customWidth="1"/>
    <col min="92" max="92" width="33.7109375" style="1" customWidth="1"/>
    <col min="93" max="94" width="30.28515625" style="1" customWidth="1"/>
    <col min="95" max="95" width="36.7109375" style="1" hidden="1" customWidth="1" outlineLevel="1"/>
    <col min="96" max="96" width="33.7109375" style="1" hidden="1" customWidth="1" outlineLevel="1"/>
    <col min="97" max="97" width="44.28515625" style="1" customWidth="1" collapsed="1"/>
    <col min="98" max="98" width="34.28515625" style="1" customWidth="1"/>
    <col min="99" max="99" width="33.28515625" style="1" customWidth="1"/>
    <col min="100" max="100" width="39.7109375" style="1" bestFit="1" customWidth="1"/>
    <col min="101" max="102" width="44.28515625" style="1" customWidth="1"/>
    <col min="103" max="103" width="44.7109375" style="1" bestFit="1" customWidth="1"/>
    <col min="104" max="104" width="41.42578125" style="1" bestFit="1" customWidth="1"/>
    <col min="105" max="105" width="44.7109375" style="1" bestFit="1" customWidth="1"/>
    <col min="106" max="106" width="36.7109375" style="1" hidden="1" customWidth="1" outlineLevel="1"/>
    <col min="107" max="107" width="32.5703125" style="1" hidden="1" customWidth="1" outlineLevel="1"/>
    <col min="108" max="108" width="39.28515625" style="1" customWidth="1" collapsed="1"/>
    <col min="109" max="109" width="34.28515625" style="1" customWidth="1"/>
    <col min="110" max="110" width="30.28515625" style="1" customWidth="1"/>
    <col min="111" max="111" width="32.7109375" style="1" hidden="1" customWidth="1" outlineLevel="1"/>
    <col min="112" max="112" width="36.7109375" style="1" hidden="1" customWidth="1" outlineLevel="1"/>
    <col min="113" max="113" width="48.140625" style="1" hidden="1" customWidth="1" outlineLevel="1"/>
    <col min="114" max="114" width="27" style="1" customWidth="1" collapsed="1"/>
    <col min="115" max="115" width="39.28515625" style="1" customWidth="1"/>
    <col min="116" max="116" width="31.7109375" style="1" customWidth="1"/>
    <col min="117" max="117" width="26.28515625" style="1" customWidth="1"/>
    <col min="118" max="118" width="24.28515625" style="1" bestFit="1" customWidth="1"/>
    <col min="119" max="119" width="21.140625" style="1" customWidth="1"/>
    <col min="120" max="120" width="28.7109375" style="1" customWidth="1"/>
    <col min="121" max="121" width="31.140625" style="1" hidden="1" customWidth="1" outlineLevel="1"/>
    <col min="122" max="122" width="35.28515625" style="1" hidden="1" customWidth="1" outlineLevel="1"/>
    <col min="123" max="123" width="34.28515625" style="1" hidden="1" customWidth="1" outlineLevel="1"/>
    <col min="124" max="124" width="28.7109375" style="1" customWidth="1" collapsed="1"/>
    <col min="125" max="125" width="31.140625" style="1" hidden="1" customWidth="1" outlineLevel="1"/>
    <col min="126" max="126" width="35.28515625" style="1" hidden="1" customWidth="1" outlineLevel="1"/>
    <col min="127" max="127" width="25.5703125" style="1" hidden="1" customWidth="1" outlineLevel="1" collapsed="1"/>
    <col min="128" max="128" width="28.7109375" style="1" customWidth="1" collapsed="1"/>
    <col min="129" max="129" width="29.5703125" style="1" customWidth="1" outlineLevel="1"/>
    <col min="130" max="130" width="32.140625" style="1" customWidth="1" outlineLevel="1"/>
    <col min="131" max="131" width="36.28515625" style="1" customWidth="1" outlineLevel="1" collapsed="1"/>
    <col min="132" max="132" width="22.85546875" style="1" customWidth="1" outlineLevel="1" collapsed="1"/>
    <col min="133" max="133" width="15.42578125" style="1" customWidth="1" outlineLevel="1"/>
    <col min="134" max="134" width="13.7109375" style="1" customWidth="1" outlineLevel="1"/>
    <col min="135" max="135" width="23.28515625" style="1" customWidth="1" outlineLevel="1"/>
    <col min="136" max="136" width="22.28515625" style="1" customWidth="1" outlineLevel="1"/>
    <col min="137" max="137" width="23" style="1" customWidth="1" outlineLevel="1"/>
    <col min="138" max="138" width="22.7109375" style="1" customWidth="1" outlineLevel="1"/>
    <col min="139" max="139" width="23.85546875" style="1" customWidth="1" outlineLevel="1"/>
    <col min="140" max="140" width="22.7109375" style="1" customWidth="1" outlineLevel="1"/>
    <col min="141" max="141" width="24.140625" style="1" customWidth="1" outlineLevel="1"/>
    <col min="142" max="142" width="20.28515625" style="1" customWidth="1" outlineLevel="1"/>
    <col min="143" max="143" width="19.5703125" style="1" customWidth="1" outlineLevel="1"/>
    <col min="144" max="144" width="22" style="1" customWidth="1" outlineLevel="1"/>
    <col min="145" max="145" width="28.42578125" style="1" customWidth="1" outlineLevel="1"/>
    <col min="146" max="146" width="30.42578125" style="1" customWidth="1" outlineLevel="1"/>
    <col min="147" max="147" width="29.5703125" style="1" customWidth="1" outlineLevel="1"/>
    <col min="148" max="148" width="22.28515625" style="1" customWidth="1" outlineLevel="1"/>
    <col min="149" max="149" width="23" style="1" customWidth="1" outlineLevel="1"/>
    <col min="150" max="150" width="22.5703125" style="1" customWidth="1" outlineLevel="1"/>
    <col min="151" max="151" width="28.28515625" style="1" customWidth="1" outlineLevel="1"/>
    <col min="152" max="160" width="21.28515625" style="1" customWidth="1" outlineLevel="1"/>
    <col min="161" max="16384" width="9.140625" style="1"/>
  </cols>
  <sheetData>
    <row r="2" spans="4:160" x14ac:dyDescent="0.25">
      <c r="BN2" s="1">
        <v>1</v>
      </c>
      <c r="BO2" s="1">
        <v>2</v>
      </c>
      <c r="BP2" s="1">
        <v>3</v>
      </c>
      <c r="BQ2" s="1">
        <v>4</v>
      </c>
      <c r="BR2" s="1">
        <v>5</v>
      </c>
      <c r="BS2" s="1">
        <v>6</v>
      </c>
      <c r="BT2" s="1">
        <v>7</v>
      </c>
      <c r="BU2" s="1">
        <v>8</v>
      </c>
      <c r="BV2" s="1">
        <v>9</v>
      </c>
      <c r="BW2" s="1">
        <v>10</v>
      </c>
      <c r="BX2" s="1">
        <v>11</v>
      </c>
      <c r="BY2" s="1">
        <v>12</v>
      </c>
      <c r="BZ2" s="1">
        <v>13</v>
      </c>
      <c r="CA2" s="1">
        <v>14</v>
      </c>
      <c r="CB2" s="1">
        <v>15</v>
      </c>
      <c r="CC2" s="1">
        <v>16</v>
      </c>
      <c r="CD2" s="1">
        <v>17</v>
      </c>
      <c r="CE2" s="1">
        <v>18</v>
      </c>
      <c r="CF2" s="1">
        <v>19</v>
      </c>
      <c r="CG2" s="1">
        <v>20</v>
      </c>
      <c r="CH2" s="1">
        <v>21</v>
      </c>
      <c r="CI2" s="1">
        <v>22</v>
      </c>
      <c r="CJ2" s="1">
        <v>23</v>
      </c>
      <c r="CK2" s="1">
        <v>24</v>
      </c>
      <c r="CL2" s="1">
        <v>25</v>
      </c>
      <c r="CM2" s="1">
        <v>26</v>
      </c>
      <c r="CN2" s="1">
        <v>27</v>
      </c>
      <c r="CO2" s="1">
        <v>28</v>
      </c>
      <c r="CS2" s="1">
        <v>1</v>
      </c>
      <c r="CT2" s="1">
        <v>2</v>
      </c>
      <c r="CU2" s="1">
        <v>3</v>
      </c>
      <c r="CV2" s="1">
        <v>4</v>
      </c>
      <c r="CW2" s="1">
        <v>5</v>
      </c>
      <c r="CX2" s="1">
        <v>6</v>
      </c>
      <c r="CY2" s="1">
        <v>7</v>
      </c>
      <c r="CZ2" s="1">
        <v>8</v>
      </c>
    </row>
    <row r="3" spans="4:160" outlineLevel="1" x14ac:dyDescent="0.25">
      <c r="D3" s="1">
        <v>1</v>
      </c>
      <c r="E3" s="1">
        <v>2</v>
      </c>
      <c r="F3" s="1">
        <v>3</v>
      </c>
      <c r="G3" s="1">
        <v>4</v>
      </c>
      <c r="H3" s="1">
        <v>5</v>
      </c>
      <c r="I3" s="1">
        <v>6</v>
      </c>
      <c r="J3" s="1">
        <v>7</v>
      </c>
      <c r="K3" s="1">
        <v>8</v>
      </c>
      <c r="L3" s="1">
        <v>9</v>
      </c>
      <c r="M3" s="1">
        <v>10</v>
      </c>
      <c r="N3" s="1">
        <v>11</v>
      </c>
      <c r="O3" s="1">
        <v>12</v>
      </c>
      <c r="P3" s="1">
        <v>13</v>
      </c>
      <c r="Q3" s="1">
        <v>14</v>
      </c>
      <c r="R3" s="1">
        <v>15</v>
      </c>
      <c r="S3" s="1">
        <v>16</v>
      </c>
      <c r="T3" s="1">
        <v>17</v>
      </c>
      <c r="U3" s="1">
        <v>18</v>
      </c>
      <c r="V3" s="1">
        <v>19</v>
      </c>
      <c r="W3" s="1">
        <v>20</v>
      </c>
      <c r="X3" s="1">
        <v>21</v>
      </c>
      <c r="Y3" s="1">
        <v>22</v>
      </c>
      <c r="Z3" s="1">
        <v>23</v>
      </c>
      <c r="AA3" s="1">
        <v>24</v>
      </c>
      <c r="AB3" s="1">
        <v>25</v>
      </c>
      <c r="AC3" s="1">
        <v>26</v>
      </c>
      <c r="AD3" s="1">
        <v>27</v>
      </c>
      <c r="AE3" s="1">
        <v>28</v>
      </c>
      <c r="AF3" s="1">
        <v>29</v>
      </c>
      <c r="AG3" s="1">
        <v>30</v>
      </c>
      <c r="AH3" s="1">
        <v>31</v>
      </c>
      <c r="AI3" s="1">
        <v>32</v>
      </c>
      <c r="AJ3" s="1">
        <v>33</v>
      </c>
      <c r="AK3" s="1">
        <v>34</v>
      </c>
      <c r="AL3" s="1">
        <v>35</v>
      </c>
      <c r="AM3" s="1">
        <v>36</v>
      </c>
      <c r="AN3" s="1">
        <v>37</v>
      </c>
      <c r="AO3" s="1">
        <v>38</v>
      </c>
      <c r="AP3" s="1">
        <v>39</v>
      </c>
      <c r="AQ3" s="1">
        <v>40</v>
      </c>
      <c r="AR3" s="1">
        <v>41</v>
      </c>
      <c r="AS3" s="1">
        <v>42</v>
      </c>
      <c r="AT3" s="1">
        <v>43</v>
      </c>
      <c r="AU3" s="1">
        <v>44</v>
      </c>
      <c r="AV3" s="1">
        <v>45</v>
      </c>
      <c r="AW3" s="1">
        <v>46</v>
      </c>
      <c r="AX3" s="1">
        <v>47</v>
      </c>
      <c r="AY3" s="1">
        <v>48</v>
      </c>
      <c r="AZ3" s="1">
        <v>49</v>
      </c>
      <c r="BA3" s="1">
        <v>50</v>
      </c>
      <c r="BB3" s="1">
        <v>51</v>
      </c>
      <c r="BC3" s="1">
        <v>52</v>
      </c>
      <c r="BD3" s="1">
        <v>53</v>
      </c>
      <c r="BE3" s="1">
        <v>54</v>
      </c>
      <c r="BF3" s="1">
        <v>55</v>
      </c>
      <c r="BG3" s="1">
        <v>56</v>
      </c>
      <c r="BH3" s="1">
        <v>57</v>
      </c>
      <c r="BI3" s="1">
        <v>58</v>
      </c>
      <c r="BJ3" s="1">
        <v>59</v>
      </c>
      <c r="BK3" s="1">
        <v>60</v>
      </c>
      <c r="BL3" s="1">
        <v>61</v>
      </c>
      <c r="BM3" s="1">
        <v>62</v>
      </c>
      <c r="BN3" s="1">
        <v>63</v>
      </c>
      <c r="BO3" s="1">
        <v>64</v>
      </c>
      <c r="BP3" s="1">
        <v>65</v>
      </c>
      <c r="BQ3" s="1">
        <v>66</v>
      </c>
      <c r="BR3" s="1">
        <v>67</v>
      </c>
      <c r="BS3" s="1">
        <v>68</v>
      </c>
      <c r="BT3" s="1">
        <v>69</v>
      </c>
      <c r="BU3" s="1">
        <v>70</v>
      </c>
      <c r="BV3" s="1">
        <v>71</v>
      </c>
      <c r="BW3" s="1">
        <v>72</v>
      </c>
      <c r="BX3" s="1">
        <v>73</v>
      </c>
      <c r="BY3" s="1">
        <v>74</v>
      </c>
      <c r="BZ3" s="1">
        <v>75</v>
      </c>
      <c r="CA3" s="1">
        <v>76</v>
      </c>
      <c r="CB3" s="1">
        <v>77</v>
      </c>
      <c r="CC3" s="1">
        <v>78</v>
      </c>
      <c r="CD3" s="1">
        <v>79</v>
      </c>
      <c r="CE3" s="1">
        <v>80</v>
      </c>
      <c r="CF3" s="1">
        <v>81</v>
      </c>
      <c r="CG3" s="1">
        <v>82</v>
      </c>
      <c r="CH3" s="1">
        <v>83</v>
      </c>
      <c r="CI3" s="1">
        <v>84</v>
      </c>
      <c r="CJ3" s="1">
        <v>85</v>
      </c>
      <c r="CK3" s="1">
        <v>86</v>
      </c>
      <c r="CL3" s="1">
        <v>87</v>
      </c>
      <c r="CM3" s="1">
        <v>88</v>
      </c>
      <c r="CN3" s="1">
        <v>89</v>
      </c>
      <c r="CO3" s="1">
        <v>90</v>
      </c>
      <c r="CP3" s="1">
        <v>91</v>
      </c>
      <c r="CQ3" s="1">
        <v>92</v>
      </c>
      <c r="CR3" s="1">
        <v>93</v>
      </c>
      <c r="CS3" s="1">
        <v>94</v>
      </c>
      <c r="CT3" s="1">
        <v>95</v>
      </c>
      <c r="CU3" s="1">
        <v>96</v>
      </c>
      <c r="CV3" s="1">
        <v>97</v>
      </c>
      <c r="CW3" s="1">
        <v>98</v>
      </c>
      <c r="CX3" s="1">
        <v>99</v>
      </c>
      <c r="CY3" s="1">
        <v>100</v>
      </c>
      <c r="CZ3" s="1">
        <v>101</v>
      </c>
      <c r="DA3" s="1">
        <v>102</v>
      </c>
      <c r="DB3" s="1">
        <v>103</v>
      </c>
      <c r="DC3" s="1">
        <v>104</v>
      </c>
      <c r="DD3" s="1">
        <v>105</v>
      </c>
      <c r="DE3" s="1">
        <v>106</v>
      </c>
      <c r="DF3" s="1">
        <v>107</v>
      </c>
      <c r="DG3" s="1">
        <v>108</v>
      </c>
      <c r="DH3" s="1">
        <v>109</v>
      </c>
      <c r="DI3" s="1">
        <v>110</v>
      </c>
      <c r="DJ3" s="1">
        <v>111</v>
      </c>
      <c r="DK3" s="1">
        <v>112</v>
      </c>
      <c r="DL3" s="1">
        <v>113</v>
      </c>
      <c r="DM3" s="1">
        <v>114</v>
      </c>
      <c r="DN3" s="1">
        <v>115</v>
      </c>
      <c r="DO3" s="1">
        <v>116</v>
      </c>
      <c r="DP3" s="1">
        <v>117</v>
      </c>
      <c r="DQ3" s="1">
        <v>118</v>
      </c>
      <c r="DR3" s="1">
        <v>119</v>
      </c>
      <c r="DS3" s="1">
        <v>120</v>
      </c>
      <c r="DT3" s="1">
        <v>121</v>
      </c>
      <c r="DU3" s="1">
        <v>122</v>
      </c>
      <c r="DV3" s="1">
        <v>123</v>
      </c>
      <c r="DW3" s="1">
        <v>124</v>
      </c>
      <c r="DX3" s="1">
        <v>125</v>
      </c>
      <c r="DY3" s="1">
        <v>126</v>
      </c>
      <c r="DZ3" s="1">
        <v>127</v>
      </c>
      <c r="EA3" s="1">
        <v>128</v>
      </c>
      <c r="EB3" s="1">
        <v>129</v>
      </c>
      <c r="EC3" s="1">
        <v>130</v>
      </c>
      <c r="ED3" s="1">
        <v>131</v>
      </c>
      <c r="EE3" s="1">
        <v>132</v>
      </c>
      <c r="EF3" s="1">
        <v>133</v>
      </c>
      <c r="EG3" s="1">
        <v>134</v>
      </c>
      <c r="EH3" s="1">
        <v>135</v>
      </c>
      <c r="EI3" s="1">
        <v>136</v>
      </c>
      <c r="EJ3" s="1">
        <v>137</v>
      </c>
      <c r="EK3" s="1">
        <v>138</v>
      </c>
      <c r="EL3" s="1">
        <v>139</v>
      </c>
      <c r="EM3" s="1">
        <v>140</v>
      </c>
      <c r="EN3" s="1">
        <v>141</v>
      </c>
      <c r="EO3" s="1">
        <v>142</v>
      </c>
      <c r="EP3" s="1">
        <v>143</v>
      </c>
      <c r="EQ3" s="1">
        <v>144</v>
      </c>
      <c r="ER3" s="1">
        <v>145</v>
      </c>
      <c r="ES3" s="1">
        <v>146</v>
      </c>
      <c r="ET3" s="1">
        <v>147</v>
      </c>
      <c r="EU3" s="1">
        <v>148</v>
      </c>
      <c r="EV3" s="1">
        <v>149</v>
      </c>
      <c r="EW3" s="1">
        <v>150</v>
      </c>
      <c r="EX3" s="1">
        <v>151</v>
      </c>
      <c r="EY3" s="1">
        <v>152</v>
      </c>
      <c r="EZ3" s="1">
        <v>153</v>
      </c>
      <c r="FA3" s="1">
        <v>154</v>
      </c>
      <c r="FB3" s="1">
        <v>155</v>
      </c>
      <c r="FC3" s="1">
        <v>156</v>
      </c>
      <c r="FD3" s="1">
        <v>157</v>
      </c>
    </row>
    <row r="4" spans="4:160" x14ac:dyDescent="0.25">
      <c r="D4" s="49" t="s">
        <v>79</v>
      </c>
      <c r="E4" s="49"/>
      <c r="F4" s="50" t="s">
        <v>11</v>
      </c>
      <c r="G4" s="50"/>
      <c r="H4" s="48" t="s">
        <v>10</v>
      </c>
      <c r="I4" s="48"/>
      <c r="J4" s="3"/>
      <c r="K4" s="51" t="s">
        <v>12</v>
      </c>
      <c r="L4" s="51"/>
      <c r="M4" s="51"/>
      <c r="N4" s="51"/>
      <c r="O4" s="51"/>
      <c r="P4" s="16"/>
      <c r="Q4" s="48" t="s">
        <v>181</v>
      </c>
      <c r="R4" s="48"/>
      <c r="S4" s="3"/>
      <c r="T4" s="3"/>
      <c r="U4" s="3"/>
      <c r="V4" s="3"/>
      <c r="W4" s="3"/>
      <c r="X4" s="3"/>
      <c r="Y4" s="48" t="s">
        <v>180</v>
      </c>
      <c r="Z4" s="48"/>
      <c r="AA4" s="3"/>
      <c r="AB4" s="3"/>
      <c r="AC4" s="3"/>
      <c r="AD4" s="3"/>
      <c r="AE4" s="48" t="s">
        <v>188</v>
      </c>
      <c r="AF4" s="48"/>
      <c r="AM4" s="48" t="s">
        <v>195</v>
      </c>
      <c r="AN4" s="48"/>
      <c r="AQ4" s="48" t="s">
        <v>202</v>
      </c>
      <c r="AR4" s="48"/>
      <c r="BL4" s="48" t="s">
        <v>203</v>
      </c>
      <c r="BM4" s="48"/>
      <c r="CQ4" s="48" t="s">
        <v>221</v>
      </c>
      <c r="CR4" s="48"/>
      <c r="DB4" s="48" t="s">
        <v>224</v>
      </c>
      <c r="DC4" s="48"/>
      <c r="DH4" s="48" t="s">
        <v>230</v>
      </c>
      <c r="DI4" s="48"/>
      <c r="DR4" s="48" t="s">
        <v>231</v>
      </c>
      <c r="DS4" s="48"/>
      <c r="DV4" s="48" t="s">
        <v>237</v>
      </c>
      <c r="DW4" s="48"/>
      <c r="DZ4" s="48" t="s">
        <v>239</v>
      </c>
      <c r="EA4" s="48"/>
    </row>
    <row r="5" spans="4:160" x14ac:dyDescent="0.25">
      <c r="D5" s="10" t="s">
        <v>77</v>
      </c>
      <c r="E5" s="11" t="s">
        <v>78</v>
      </c>
      <c r="F5" s="12" t="s">
        <v>5</v>
      </c>
      <c r="G5" s="13" t="s">
        <v>6</v>
      </c>
      <c r="H5" s="14" t="s">
        <v>3</v>
      </c>
      <c r="I5" s="8" t="s">
        <v>4</v>
      </c>
      <c r="J5" s="4" t="s">
        <v>2</v>
      </c>
      <c r="K5" s="4" t="s">
        <v>1</v>
      </c>
      <c r="L5" s="4" t="s">
        <v>0</v>
      </c>
      <c r="M5" s="4" t="s">
        <v>7</v>
      </c>
      <c r="N5" s="4" t="s">
        <v>9</v>
      </c>
      <c r="O5" s="4" t="s">
        <v>8</v>
      </c>
      <c r="P5" s="7" t="s">
        <v>182</v>
      </c>
      <c r="Q5" s="8" t="s">
        <v>183</v>
      </c>
      <c r="R5" s="8" t="s">
        <v>184</v>
      </c>
      <c r="S5" s="4" t="s">
        <v>13</v>
      </c>
      <c r="T5" s="4" t="s">
        <v>14</v>
      </c>
      <c r="U5" s="4" t="s">
        <v>15</v>
      </c>
      <c r="V5" s="4" t="s">
        <v>83</v>
      </c>
      <c r="W5" s="4" t="s">
        <v>16</v>
      </c>
      <c r="X5" s="7" t="s">
        <v>185</v>
      </c>
      <c r="Y5" s="8" t="s">
        <v>186</v>
      </c>
      <c r="Z5" s="8" t="s">
        <v>187</v>
      </c>
      <c r="AA5" s="4" t="s">
        <v>189</v>
      </c>
      <c r="AB5" s="4" t="s">
        <v>190</v>
      </c>
      <c r="AC5" s="4" t="s">
        <v>191</v>
      </c>
      <c r="AD5" s="7" t="s">
        <v>192</v>
      </c>
      <c r="AE5" s="8" t="s">
        <v>193</v>
      </c>
      <c r="AF5" s="8" t="s">
        <v>194</v>
      </c>
      <c r="AG5" s="4" t="s">
        <v>17</v>
      </c>
      <c r="AH5" s="4" t="s">
        <v>18</v>
      </c>
      <c r="AI5" s="4" t="s">
        <v>19</v>
      </c>
      <c r="AJ5" s="4" t="s">
        <v>20</v>
      </c>
      <c r="AK5" s="4" t="s">
        <v>21</v>
      </c>
      <c r="AL5" s="7" t="s">
        <v>197</v>
      </c>
      <c r="AM5" s="8" t="s">
        <v>196</v>
      </c>
      <c r="AN5" s="8" t="s">
        <v>198</v>
      </c>
      <c r="AO5" s="4" t="s">
        <v>22</v>
      </c>
      <c r="AP5" s="7" t="s">
        <v>199</v>
      </c>
      <c r="AQ5" s="8" t="s">
        <v>200</v>
      </c>
      <c r="AR5" s="8" t="s">
        <v>201</v>
      </c>
      <c r="AS5" s="4" t="s">
        <v>23</v>
      </c>
      <c r="AT5" s="4" t="s">
        <v>24</v>
      </c>
      <c r="AU5" s="4" t="s">
        <v>25</v>
      </c>
      <c r="AV5" s="4" t="s">
        <v>26</v>
      </c>
      <c r="AW5" s="41" t="s">
        <v>216</v>
      </c>
      <c r="AX5" s="4" t="s">
        <v>27</v>
      </c>
      <c r="AY5" s="4" t="s">
        <v>28</v>
      </c>
      <c r="AZ5" s="4" t="s">
        <v>29</v>
      </c>
      <c r="BA5" s="41" t="s">
        <v>215</v>
      </c>
      <c r="BB5" s="4" t="s">
        <v>30</v>
      </c>
      <c r="BC5" s="4" t="s">
        <v>31</v>
      </c>
      <c r="BD5" s="41" t="s">
        <v>213</v>
      </c>
      <c r="BE5" s="4" t="s">
        <v>32</v>
      </c>
      <c r="BF5" s="4" t="s">
        <v>33</v>
      </c>
      <c r="BG5" s="41" t="s">
        <v>214</v>
      </c>
      <c r="BH5" s="4" t="s">
        <v>34</v>
      </c>
      <c r="BI5" s="4" t="s">
        <v>35</v>
      </c>
      <c r="BJ5" s="4" t="s">
        <v>36</v>
      </c>
      <c r="BK5" s="7" t="s">
        <v>217</v>
      </c>
      <c r="BL5" s="8" t="s">
        <v>204</v>
      </c>
      <c r="BM5" s="8" t="s">
        <v>205</v>
      </c>
      <c r="BN5" s="4" t="s">
        <v>37</v>
      </c>
      <c r="BO5" s="4" t="s">
        <v>38</v>
      </c>
      <c r="BP5" s="4" t="s">
        <v>41</v>
      </c>
      <c r="BQ5" s="41" t="s">
        <v>207</v>
      </c>
      <c r="BR5" s="4" t="s">
        <v>39</v>
      </c>
      <c r="BS5" s="4" t="s">
        <v>40</v>
      </c>
      <c r="BT5" s="4" t="s">
        <v>42</v>
      </c>
      <c r="BU5" s="41" t="s">
        <v>208</v>
      </c>
      <c r="BV5" s="4" t="s">
        <v>43</v>
      </c>
      <c r="BW5" s="4" t="s">
        <v>44</v>
      </c>
      <c r="BX5" s="4" t="s">
        <v>45</v>
      </c>
      <c r="BY5" s="41" t="s">
        <v>209</v>
      </c>
      <c r="BZ5" s="4" t="s">
        <v>46</v>
      </c>
      <c r="CA5" s="4" t="s">
        <v>47</v>
      </c>
      <c r="CB5" s="4" t="s">
        <v>48</v>
      </c>
      <c r="CC5" s="41" t="s">
        <v>210</v>
      </c>
      <c r="CD5" s="4" t="s">
        <v>49</v>
      </c>
      <c r="CE5" s="4" t="s">
        <v>50</v>
      </c>
      <c r="CF5" s="4" t="s">
        <v>51</v>
      </c>
      <c r="CG5" s="41" t="s">
        <v>211</v>
      </c>
      <c r="CH5" s="4" t="s">
        <v>52</v>
      </c>
      <c r="CI5" s="4" t="s">
        <v>53</v>
      </c>
      <c r="CJ5" s="4" t="s">
        <v>54</v>
      </c>
      <c r="CK5" s="41" t="s">
        <v>212</v>
      </c>
      <c r="CL5" s="4" t="s">
        <v>58</v>
      </c>
      <c r="CM5" s="4" t="s">
        <v>55</v>
      </c>
      <c r="CN5" s="4" t="s">
        <v>56</v>
      </c>
      <c r="CO5" s="4" t="s">
        <v>57</v>
      </c>
      <c r="CP5" s="41" t="s">
        <v>206</v>
      </c>
      <c r="CQ5" s="8" t="s">
        <v>222</v>
      </c>
      <c r="CR5" s="8" t="s">
        <v>223</v>
      </c>
      <c r="CS5" s="4" t="s">
        <v>59</v>
      </c>
      <c r="CT5" s="4" t="s">
        <v>60</v>
      </c>
      <c r="CU5" s="4" t="s">
        <v>61</v>
      </c>
      <c r="CV5" s="41" t="s">
        <v>218</v>
      </c>
      <c r="CW5" s="4" t="s">
        <v>62</v>
      </c>
      <c r="CX5" s="41" t="s">
        <v>220</v>
      </c>
      <c r="CY5" s="4" t="s">
        <v>63</v>
      </c>
      <c r="CZ5" s="4" t="s">
        <v>64</v>
      </c>
      <c r="DA5" s="41" t="s">
        <v>219</v>
      </c>
      <c r="DB5" s="8" t="s">
        <v>225</v>
      </c>
      <c r="DC5" s="8" t="s">
        <v>226</v>
      </c>
      <c r="DD5" s="4" t="s">
        <v>65</v>
      </c>
      <c r="DE5" s="4" t="s">
        <v>66</v>
      </c>
      <c r="DF5" s="4" t="s">
        <v>67</v>
      </c>
      <c r="DG5" s="7" t="s">
        <v>227</v>
      </c>
      <c r="DH5" s="8" t="s">
        <v>228</v>
      </c>
      <c r="DI5" s="8" t="s">
        <v>229</v>
      </c>
      <c r="DJ5" s="4" t="s">
        <v>68</v>
      </c>
      <c r="DK5" s="4" t="s">
        <v>69</v>
      </c>
      <c r="DL5" s="4" t="s">
        <v>70</v>
      </c>
      <c r="DM5" s="4" t="s">
        <v>71</v>
      </c>
      <c r="DN5" s="4" t="s">
        <v>72</v>
      </c>
      <c r="DO5" s="4" t="s">
        <v>73</v>
      </c>
      <c r="DP5" s="4" t="s">
        <v>74</v>
      </c>
      <c r="DQ5" s="7" t="s">
        <v>232</v>
      </c>
      <c r="DR5" s="8" t="s">
        <v>233</v>
      </c>
      <c r="DS5" s="8" t="s">
        <v>234</v>
      </c>
      <c r="DT5" s="4" t="s">
        <v>75</v>
      </c>
      <c r="DU5" s="7" t="s">
        <v>235</v>
      </c>
      <c r="DV5" s="8" t="s">
        <v>236</v>
      </c>
      <c r="DW5" s="8" t="s">
        <v>238</v>
      </c>
      <c r="DX5" s="4" t="s">
        <v>76</v>
      </c>
      <c r="DY5" s="7" t="s">
        <v>240</v>
      </c>
      <c r="DZ5" s="8" t="s">
        <v>241</v>
      </c>
      <c r="EA5" s="8" t="s">
        <v>242</v>
      </c>
      <c r="EB5" s="8" t="s">
        <v>121</v>
      </c>
      <c r="EC5" s="8" t="s">
        <v>122</v>
      </c>
      <c r="ED5" s="8" t="s">
        <v>123</v>
      </c>
      <c r="EE5" s="8" t="s">
        <v>124</v>
      </c>
      <c r="EF5" s="8" t="s">
        <v>125</v>
      </c>
      <c r="EG5" s="8" t="s">
        <v>126</v>
      </c>
      <c r="EH5" s="8" t="s">
        <v>127</v>
      </c>
      <c r="EI5" s="8" t="s">
        <v>128</v>
      </c>
      <c r="EJ5" s="8" t="s">
        <v>129</v>
      </c>
      <c r="EK5" s="8" t="s">
        <v>130</v>
      </c>
      <c r="EL5" s="8" t="s">
        <v>131</v>
      </c>
      <c r="EM5" s="8" t="s">
        <v>132</v>
      </c>
      <c r="EN5" s="8" t="s">
        <v>133</v>
      </c>
      <c r="EO5" s="8" t="s">
        <v>134</v>
      </c>
      <c r="EP5" s="8" t="s">
        <v>135</v>
      </c>
      <c r="EQ5" s="8" t="s">
        <v>136</v>
      </c>
      <c r="ER5" s="8" t="s">
        <v>137</v>
      </c>
      <c r="ES5" s="8" t="s">
        <v>138</v>
      </c>
      <c r="ET5" s="8" t="s">
        <v>268</v>
      </c>
      <c r="EU5" s="8" t="s">
        <v>139</v>
      </c>
      <c r="EV5" s="8" t="s">
        <v>140</v>
      </c>
      <c r="EW5" s="8" t="s">
        <v>141</v>
      </c>
      <c r="EX5" s="8" t="s">
        <v>142</v>
      </c>
      <c r="EY5" s="8" t="s">
        <v>143</v>
      </c>
      <c r="EZ5" s="8" t="s">
        <v>270</v>
      </c>
      <c r="FA5" s="8" t="s">
        <v>271</v>
      </c>
      <c r="FB5" s="8" t="s">
        <v>273</v>
      </c>
      <c r="FC5" s="8" t="s">
        <v>272</v>
      </c>
      <c r="FD5" s="8" t="s">
        <v>144</v>
      </c>
    </row>
    <row r="6" spans="4:160" x14ac:dyDescent="0.25">
      <c r="D6" s="5">
        <v>44452.372048611112</v>
      </c>
      <c r="E6" s="6" t="s">
        <v>87</v>
      </c>
      <c r="F6" s="5"/>
      <c r="G6" s="6"/>
      <c r="H6" s="5">
        <v>44468.90320601852</v>
      </c>
      <c r="I6" s="6" t="s">
        <v>87</v>
      </c>
      <c r="J6" s="4" t="s">
        <v>243</v>
      </c>
      <c r="K6" s="4" t="s">
        <v>91</v>
      </c>
      <c r="L6" s="4" t="s">
        <v>88</v>
      </c>
      <c r="M6" s="4" t="s">
        <v>89</v>
      </c>
      <c r="N6" s="4" t="s">
        <v>90</v>
      </c>
      <c r="O6" s="4" t="s">
        <v>92</v>
      </c>
      <c r="P6" s="7" t="s">
        <v>93</v>
      </c>
      <c r="Q6" s="5">
        <v>44468.90289351852</v>
      </c>
      <c r="R6" s="6" t="s">
        <v>87</v>
      </c>
      <c r="S6" s="4"/>
      <c r="T6" s="4"/>
      <c r="U6" s="4"/>
      <c r="V6" s="4"/>
      <c r="W6" s="4"/>
      <c r="X6" s="4"/>
      <c r="Y6" s="4"/>
      <c r="Z6" s="4"/>
      <c r="AA6" s="4"/>
      <c r="AB6" s="4"/>
      <c r="AC6" s="4"/>
      <c r="AD6" s="6"/>
      <c r="AE6" s="5"/>
      <c r="AF6" s="6"/>
      <c r="AG6" s="4"/>
      <c r="AH6" s="4"/>
      <c r="AI6" s="4"/>
      <c r="AJ6" s="4"/>
      <c r="AK6" s="4"/>
      <c r="AL6" s="6"/>
      <c r="AM6" s="5"/>
      <c r="AN6" s="6"/>
      <c r="AO6" s="4"/>
      <c r="AP6" s="6"/>
      <c r="AQ6" s="5"/>
      <c r="AR6" s="6"/>
      <c r="AS6" s="4"/>
      <c r="AT6" s="4"/>
      <c r="AU6" s="4"/>
      <c r="AV6" s="4"/>
      <c r="AW6" s="4"/>
      <c r="AX6" s="4"/>
      <c r="AY6" s="4"/>
      <c r="AZ6" s="4"/>
      <c r="BA6" s="4"/>
      <c r="BB6" s="4"/>
      <c r="BC6" s="4"/>
      <c r="BD6" s="4"/>
      <c r="BE6" s="4"/>
      <c r="BF6" s="4"/>
      <c r="BG6" s="4"/>
      <c r="BH6" s="4"/>
      <c r="BI6" s="4"/>
      <c r="BJ6" s="4"/>
      <c r="BK6" s="4"/>
      <c r="BL6" s="5"/>
      <c r="BM6" s="6"/>
      <c r="BN6" s="4"/>
      <c r="BO6" s="4"/>
      <c r="BP6" s="4"/>
      <c r="BQ6" s="4"/>
      <c r="BR6" s="4"/>
      <c r="BS6" s="4"/>
      <c r="BT6" s="4"/>
      <c r="BU6" s="4"/>
      <c r="BV6" s="4"/>
      <c r="BW6" s="4"/>
      <c r="BX6" s="4"/>
      <c r="BY6" s="4"/>
      <c r="BZ6" s="4"/>
      <c r="CA6" s="4"/>
      <c r="CB6" s="4"/>
      <c r="CC6" s="4"/>
      <c r="CD6" s="4"/>
      <c r="CE6" s="4"/>
      <c r="CF6" s="4"/>
      <c r="CG6" s="4"/>
      <c r="CH6" s="4"/>
      <c r="CI6" s="4"/>
      <c r="CJ6" s="4"/>
      <c r="CK6" s="4"/>
      <c r="CL6" s="4"/>
      <c r="CM6" s="4"/>
      <c r="CN6" s="4"/>
      <c r="CO6" s="4"/>
      <c r="CP6" s="4"/>
      <c r="CQ6" s="5"/>
      <c r="CR6" s="6"/>
      <c r="CS6" s="4"/>
      <c r="CT6" s="4"/>
      <c r="CU6" s="4"/>
      <c r="CV6" s="4"/>
      <c r="CW6" s="4"/>
      <c r="CX6" s="4"/>
      <c r="CY6" s="4"/>
      <c r="CZ6" s="4"/>
      <c r="DA6" s="4"/>
      <c r="DB6" s="5"/>
      <c r="DC6" s="6"/>
      <c r="DD6" s="4"/>
      <c r="DE6" s="4"/>
      <c r="DF6" s="4"/>
      <c r="DG6" s="6"/>
      <c r="DH6" s="5"/>
      <c r="DI6" s="6"/>
      <c r="DJ6" s="4"/>
      <c r="DK6" s="4"/>
      <c r="DL6" s="4"/>
      <c r="DM6" s="4"/>
      <c r="DN6" s="4"/>
      <c r="DO6" s="4"/>
      <c r="DP6" s="4"/>
      <c r="DQ6" s="6"/>
      <c r="DR6" s="5"/>
      <c r="DS6" s="6"/>
      <c r="DT6" s="4"/>
      <c r="DU6" s="6"/>
      <c r="DV6" s="5"/>
      <c r="DW6" s="6"/>
      <c r="DX6" s="4"/>
      <c r="DY6" s="6"/>
      <c r="DZ6" s="5"/>
      <c r="EA6" s="6"/>
      <c r="EB6" s="6" t="b">
        <v>1</v>
      </c>
      <c r="EC6" s="6"/>
      <c r="ED6" s="6"/>
      <c r="EE6" s="6"/>
      <c r="EF6" s="6"/>
      <c r="EG6" s="6"/>
      <c r="EH6" s="6"/>
      <c r="EI6" s="6"/>
      <c r="EJ6" s="6"/>
      <c r="EK6" s="6"/>
      <c r="EL6" s="6"/>
      <c r="EM6" s="6"/>
      <c r="EN6" s="6"/>
      <c r="EO6" s="6"/>
      <c r="EP6" s="6"/>
      <c r="EQ6" s="6"/>
      <c r="ER6" s="6"/>
      <c r="ES6" s="6"/>
      <c r="ET6" s="6"/>
      <c r="EU6" s="6"/>
      <c r="EV6" s="6"/>
      <c r="EW6" s="6"/>
      <c r="EX6" s="6"/>
      <c r="EY6" s="6"/>
      <c r="EZ6" s="15" t="str">
        <f>IF(COUNTA(Register[[#This Row],[Ethics - CAHS Complete]:[Ethics - Others Complete]])=0, "",IF(COUNTIF(Register[[#This Row],[Ethics - CAHS Complete]:[Ethics - Others Complete]],TRUE)&gt;0,TRUE,FALSE))</f>
        <v/>
      </c>
      <c r="FA6" s="6" t="str">
        <f>IF(COUNTA(Register[[#This Row],[Gov - PCH Complete]:[Gov - Others Complete]])=0,"",IF(COUNTIF(Register[[#This Row],[Gov - PCH Complete]:[Gov - Others Complete]],TRUE)&gt;0,TRUE,FALSE))</f>
        <v/>
      </c>
      <c r="FB6" s="6" t="str">
        <f>IF(COUNTA(Register[[#This Row],[Budget - VTG Complete]:[Budget - Pharmacy Complete]])=0,"",IF(COUNTIF(Register[[#This Row],[Budget - VTG Complete]:[Budget - Pharmacy Complete]],TRUE)=3,TRUE,FALSE))</f>
        <v/>
      </c>
      <c r="FC6" s="6" t="b">
        <f>IF(AND(Register[[#This Row],[Study Details Complete]]=TRUE,Register[[#This Row],[CDA Complete]]=TRUE,Register[[#This Row],[FS Complete]]=TRUE,Register[[#This Row],[Site Selection Complete]]=TRUE,Register[[#This Row],[Recruitment Complete]]=TRUE,Register[[#This Row],[Overall Ethics]]=TRUE,Register[[#This Row],[Overall Governance]]=TRUE,Register[[#This Row],[Budget - VTG Complete]]=TRUE,Register[[#This Row],[Budget - TKI Complete]]=TRUE,Register[[#This Row],[Budget - Pharmacy Complete]]=TRUE,Register[[#This Row],[Indemnity Complete]]=TRUE,Register[[#This Row],[CTRA Complete]]=TRUE,Register[[#This Row],[Fin Disc Complete]]=TRUE,Register[[#This Row],[SIV Complete]]=TRUE),TRUE,FALSE)</f>
        <v>0</v>
      </c>
      <c r="FD6" s="15">
        <f>IFERROR(MATCH(FALSE,Register[[#This Row],[Study Details Complete]:[SIV Complete]],0),1)</f>
        <v>1</v>
      </c>
    </row>
    <row r="7" spans="4:160" x14ac:dyDescent="0.25">
      <c r="D7" s="5">
        <v>44452.374467592592</v>
      </c>
      <c r="E7" s="6" t="s">
        <v>87</v>
      </c>
      <c r="F7" s="5"/>
      <c r="G7" s="6"/>
      <c r="H7" s="5">
        <v>44468.902962962966</v>
      </c>
      <c r="I7" s="6" t="s">
        <v>87</v>
      </c>
      <c r="J7" s="4" t="s">
        <v>243</v>
      </c>
      <c r="K7" s="4" t="s">
        <v>94</v>
      </c>
      <c r="L7" s="4" t="s">
        <v>95</v>
      </c>
      <c r="M7" s="4" t="s">
        <v>96</v>
      </c>
      <c r="N7" s="4" t="s">
        <v>97</v>
      </c>
      <c r="O7" s="4"/>
      <c r="P7" s="7" t="s">
        <v>98</v>
      </c>
      <c r="Q7" s="5">
        <v>44468.902939814812</v>
      </c>
      <c r="R7" s="6" t="s">
        <v>87</v>
      </c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6"/>
      <c r="AE7" s="5"/>
      <c r="AF7" s="6"/>
      <c r="AG7" s="4"/>
      <c r="AH7" s="4"/>
      <c r="AI7" s="4"/>
      <c r="AJ7" s="4"/>
      <c r="AK7" s="4"/>
      <c r="AL7" s="6"/>
      <c r="AM7" s="5"/>
      <c r="AN7" s="6"/>
      <c r="AO7" s="4"/>
      <c r="AP7" s="6"/>
      <c r="AQ7" s="5"/>
      <c r="AR7" s="6"/>
      <c r="AS7" s="4"/>
      <c r="AT7" s="4"/>
      <c r="AU7" s="4"/>
      <c r="AV7" s="4"/>
      <c r="AW7" s="4"/>
      <c r="AX7" s="4"/>
      <c r="AY7" s="4"/>
      <c r="AZ7" s="4"/>
      <c r="BA7" s="4"/>
      <c r="BB7" s="4"/>
      <c r="BC7" s="4"/>
      <c r="BD7" s="4"/>
      <c r="BE7" s="4"/>
      <c r="BF7" s="4"/>
      <c r="BG7" s="4"/>
      <c r="BH7" s="4"/>
      <c r="BI7" s="4"/>
      <c r="BJ7" s="4"/>
      <c r="BK7" s="4"/>
      <c r="BL7" s="5"/>
      <c r="BM7" s="6"/>
      <c r="BN7" s="4"/>
      <c r="BO7" s="4"/>
      <c r="BP7" s="4"/>
      <c r="BQ7" s="4"/>
      <c r="BR7" s="4"/>
      <c r="BS7" s="4"/>
      <c r="BT7" s="4"/>
      <c r="BU7" s="4"/>
      <c r="BV7" s="4"/>
      <c r="BW7" s="4"/>
      <c r="BX7" s="4"/>
      <c r="BY7" s="4"/>
      <c r="BZ7" s="4"/>
      <c r="CA7" s="4"/>
      <c r="CB7" s="4"/>
      <c r="CC7" s="4"/>
      <c r="CD7" s="4"/>
      <c r="CE7" s="4"/>
      <c r="CF7" s="4"/>
      <c r="CG7" s="4"/>
      <c r="CH7" s="4"/>
      <c r="CI7" s="4"/>
      <c r="CJ7" s="4"/>
      <c r="CK7" s="4"/>
      <c r="CL7" s="4"/>
      <c r="CM7" s="4"/>
      <c r="CN7" s="4"/>
      <c r="CO7" s="4"/>
      <c r="CP7" s="4"/>
      <c r="CQ7" s="5"/>
      <c r="CR7" s="6"/>
      <c r="CS7" s="4"/>
      <c r="CT7" s="4"/>
      <c r="CU7" s="4"/>
      <c r="CV7" s="4"/>
      <c r="CW7" s="4"/>
      <c r="CX7" s="4"/>
      <c r="CY7" s="4"/>
      <c r="CZ7" s="4"/>
      <c r="DA7" s="4"/>
      <c r="DB7" s="5"/>
      <c r="DC7" s="6"/>
      <c r="DD7" s="4"/>
      <c r="DE7" s="4"/>
      <c r="DF7" s="4"/>
      <c r="DG7" s="6"/>
      <c r="DH7" s="5"/>
      <c r="DI7" s="6"/>
      <c r="DJ7" s="4"/>
      <c r="DK7" s="4"/>
      <c r="DL7" s="4"/>
      <c r="DM7" s="4"/>
      <c r="DN7" s="4"/>
      <c r="DO7" s="4"/>
      <c r="DP7" s="4"/>
      <c r="DQ7" s="6"/>
      <c r="DR7" s="5"/>
      <c r="DS7" s="6"/>
      <c r="DT7" s="4"/>
      <c r="DU7" s="6"/>
      <c r="DV7" s="5"/>
      <c r="DW7" s="6"/>
      <c r="DX7" s="4"/>
      <c r="DY7" s="6"/>
      <c r="DZ7" s="5"/>
      <c r="EA7" s="6"/>
      <c r="EB7" s="6" t="b">
        <v>0</v>
      </c>
      <c r="EC7" s="6"/>
      <c r="ED7" s="6"/>
      <c r="EE7" s="6"/>
      <c r="EF7" s="6"/>
      <c r="EG7" s="6"/>
      <c r="EH7" s="6"/>
      <c r="EI7" s="6"/>
      <c r="EJ7" s="6"/>
      <c r="EK7" s="6"/>
      <c r="EL7" s="6"/>
      <c r="EM7" s="6"/>
      <c r="EN7" s="6"/>
      <c r="EO7" s="6"/>
      <c r="EP7" s="6"/>
      <c r="EQ7" s="6"/>
      <c r="ER7" s="6"/>
      <c r="ES7" s="6"/>
      <c r="ET7" s="6"/>
      <c r="EU7" s="6"/>
      <c r="EV7" s="6"/>
      <c r="EW7" s="6"/>
      <c r="EX7" s="6"/>
      <c r="EY7" s="6"/>
      <c r="EZ7" s="15" t="str">
        <f>IF(COUNTA(Register[[#This Row],[Ethics - CAHS Complete]:[Ethics - Others Complete]])=0, "",IF(COUNTIF(Register[[#This Row],[Ethics - CAHS Complete]:[Ethics - Others Complete]],TRUE)&gt;0,TRUE,FALSE))</f>
        <v/>
      </c>
      <c r="FA7" s="6" t="str">
        <f>IF(COUNTA(Register[[#This Row],[Gov - PCH Complete]:[Gov - Others Complete]])=0,"",IF(COUNTIF(Register[[#This Row],[Gov - PCH Complete]:[Gov - Others Complete]],TRUE)&gt;0,TRUE,FALSE))</f>
        <v/>
      </c>
      <c r="FB7" s="6" t="str">
        <f>IF(COUNTA(Register[[#This Row],[Budget - VTG Complete]:[Budget - Pharmacy Complete]])=0,"",IF(COUNTIF(Register[[#This Row],[Budget - VTG Complete]:[Budget - Pharmacy Complete]],TRUE)=3,TRUE,FALSE))</f>
        <v/>
      </c>
      <c r="FC7" s="6" t="b">
        <f>IF(AND(Register[[#This Row],[Study Details Complete]]=TRUE,Register[[#This Row],[CDA Complete]]=TRUE,Register[[#This Row],[FS Complete]]=TRUE,Register[[#This Row],[Site Selection Complete]]=TRUE,Register[[#This Row],[Recruitment Complete]]=TRUE,Register[[#This Row],[Overall Ethics]]=TRUE,Register[[#This Row],[Overall Governance]]=TRUE,Register[[#This Row],[Budget - VTG Complete]]=TRUE,Register[[#This Row],[Budget - TKI Complete]]=TRUE,Register[[#This Row],[Budget - Pharmacy Complete]]=TRUE,Register[[#This Row],[Indemnity Complete]]=TRUE,Register[[#This Row],[CTRA Complete]]=TRUE,Register[[#This Row],[Fin Disc Complete]]=TRUE,Register[[#This Row],[SIV Complete]]=TRUE),TRUE,FALSE)</f>
        <v>0</v>
      </c>
      <c r="FD7" s="15">
        <f>IFERROR(MATCH(FALSE,Register[[#This Row],[Study Details Complete]:[SIV Complete]],0),1)</f>
        <v>1</v>
      </c>
    </row>
    <row r="8" spans="4:160" x14ac:dyDescent="0.25">
      <c r="D8" s="5">
        <v>44452.375509259262</v>
      </c>
      <c r="E8" s="6" t="s">
        <v>87</v>
      </c>
      <c r="F8" s="5">
        <v>44452.377384259256</v>
      </c>
      <c r="G8" s="6" t="s">
        <v>87</v>
      </c>
      <c r="H8" s="5">
        <v>44466.442152777781</v>
      </c>
      <c r="I8" s="6" t="s">
        <v>87</v>
      </c>
      <c r="J8" s="4" t="s">
        <v>80</v>
      </c>
      <c r="K8" s="4" t="s">
        <v>99</v>
      </c>
      <c r="L8" s="4" t="s">
        <v>100</v>
      </c>
      <c r="M8" s="4" t="s">
        <v>85</v>
      </c>
      <c r="N8" s="4" t="s">
        <v>101</v>
      </c>
      <c r="O8" s="4"/>
      <c r="P8" s="7"/>
      <c r="Q8" s="5">
        <v>44452.38113425926</v>
      </c>
      <c r="R8" s="6" t="s">
        <v>87</v>
      </c>
      <c r="S8" s="19">
        <v>43840</v>
      </c>
      <c r="T8" s="4" t="s">
        <v>108</v>
      </c>
      <c r="U8" s="4" t="s">
        <v>109</v>
      </c>
      <c r="V8" s="19">
        <v>43850</v>
      </c>
      <c r="W8" s="4"/>
      <c r="X8" s="4"/>
      <c r="Y8" s="4"/>
      <c r="Z8" s="4"/>
      <c r="AA8" s="4"/>
      <c r="AB8" s="4"/>
      <c r="AC8" s="4"/>
      <c r="AD8" s="6"/>
      <c r="AE8" s="5">
        <v>44452.37909722222</v>
      </c>
      <c r="AF8" s="6" t="s">
        <v>87</v>
      </c>
      <c r="AG8" s="4"/>
      <c r="AH8" s="4"/>
      <c r="AI8" s="4"/>
      <c r="AJ8" s="4"/>
      <c r="AK8" s="4"/>
      <c r="AL8" s="6"/>
      <c r="AM8" s="5"/>
      <c r="AN8" s="6"/>
      <c r="AO8" s="4"/>
      <c r="AP8" s="6"/>
      <c r="AQ8" s="5"/>
      <c r="AR8" s="6"/>
      <c r="AS8" s="4"/>
      <c r="AT8" s="4"/>
      <c r="AU8" s="4"/>
      <c r="AV8" s="4"/>
      <c r="AW8" s="4"/>
      <c r="AX8" s="4"/>
      <c r="AY8" s="4"/>
      <c r="AZ8" s="4"/>
      <c r="BA8" s="4"/>
      <c r="BB8" s="4"/>
      <c r="BC8" s="4"/>
      <c r="BD8" s="4"/>
      <c r="BE8" s="4"/>
      <c r="BF8" s="4"/>
      <c r="BG8" s="4"/>
      <c r="BH8" s="4"/>
      <c r="BI8" s="4"/>
      <c r="BJ8" s="4"/>
      <c r="BK8" s="4"/>
      <c r="BL8" s="5"/>
      <c r="BM8" s="6"/>
      <c r="BN8" s="4"/>
      <c r="BO8" s="4"/>
      <c r="BP8" s="4"/>
      <c r="BQ8" s="4"/>
      <c r="BR8" s="4"/>
      <c r="BS8" s="4"/>
      <c r="BT8" s="4"/>
      <c r="BU8" s="4"/>
      <c r="BV8" s="4"/>
      <c r="BW8" s="4"/>
      <c r="BX8" s="4"/>
      <c r="BY8" s="4"/>
      <c r="BZ8" s="4"/>
      <c r="CA8" s="4"/>
      <c r="CB8" s="4"/>
      <c r="CC8" s="4"/>
      <c r="CD8" s="4"/>
      <c r="CE8" s="4"/>
      <c r="CF8" s="4"/>
      <c r="CG8" s="4"/>
      <c r="CH8" s="4"/>
      <c r="CI8" s="4"/>
      <c r="CJ8" s="4"/>
      <c r="CK8" s="4"/>
      <c r="CL8" s="4"/>
      <c r="CM8" s="4"/>
      <c r="CN8" s="4"/>
      <c r="CO8" s="4"/>
      <c r="CP8" s="4"/>
      <c r="CQ8" s="5"/>
      <c r="CR8" s="6"/>
      <c r="CS8" s="4"/>
      <c r="CT8" s="4"/>
      <c r="CU8" s="4"/>
      <c r="CV8" s="4"/>
      <c r="CW8" s="4"/>
      <c r="CX8" s="4"/>
      <c r="CY8" s="4"/>
      <c r="CZ8" s="4"/>
      <c r="DA8" s="4"/>
      <c r="DB8" s="5"/>
      <c r="DC8" s="6"/>
      <c r="DD8" s="4"/>
      <c r="DE8" s="4"/>
      <c r="DF8" s="4"/>
      <c r="DG8" s="6"/>
      <c r="DH8" s="5"/>
      <c r="DI8" s="6"/>
      <c r="DJ8" s="4"/>
      <c r="DK8" s="4"/>
      <c r="DL8" s="4"/>
      <c r="DM8" s="4"/>
      <c r="DN8" s="4"/>
      <c r="DO8" s="4"/>
      <c r="DP8" s="4"/>
      <c r="DQ8" s="6"/>
      <c r="DR8" s="5"/>
      <c r="DS8" s="6"/>
      <c r="DT8" s="4"/>
      <c r="DU8" s="6"/>
      <c r="DV8" s="5"/>
      <c r="DW8" s="6"/>
      <c r="DX8" s="4"/>
      <c r="DY8" s="6"/>
      <c r="DZ8" s="5"/>
      <c r="EA8" s="6"/>
      <c r="EB8" s="6"/>
      <c r="EC8" s="6"/>
      <c r="ED8" s="6"/>
      <c r="EE8" s="6"/>
      <c r="EF8" s="6"/>
      <c r="EG8" s="6"/>
      <c r="EH8" s="6"/>
      <c r="EI8" s="6"/>
      <c r="EJ8" s="6"/>
      <c r="EK8" s="6"/>
      <c r="EL8" s="6"/>
      <c r="EM8" s="6"/>
      <c r="EN8" s="6"/>
      <c r="EO8" s="6"/>
      <c r="EP8" s="6"/>
      <c r="EQ8" s="6"/>
      <c r="ER8" s="6"/>
      <c r="ES8" s="6"/>
      <c r="ET8" s="6"/>
      <c r="EU8" s="6"/>
      <c r="EV8" s="6"/>
      <c r="EW8" s="6"/>
      <c r="EX8" s="6"/>
      <c r="EY8" s="6"/>
      <c r="EZ8" s="15" t="str">
        <f>IF(COUNTA(Register[[#This Row],[Ethics - CAHS Complete]:[Ethics - Others Complete]])=0, "",IF(COUNTIF(Register[[#This Row],[Ethics - CAHS Complete]:[Ethics - Others Complete]],TRUE)&gt;0,TRUE,FALSE))</f>
        <v/>
      </c>
      <c r="FA8" s="6" t="str">
        <f>IF(COUNTA(Register[[#This Row],[Gov - PCH Complete]:[Gov - Others Complete]])=0,"",IF(COUNTIF(Register[[#This Row],[Gov - PCH Complete]:[Gov - Others Complete]],TRUE)&gt;0,TRUE,FALSE))</f>
        <v/>
      </c>
      <c r="FB8" s="6" t="str">
        <f>IF(COUNTA(Register[[#This Row],[Budget - VTG Complete]:[Budget - Pharmacy Complete]])=0,"",IF(COUNTIF(Register[[#This Row],[Budget - VTG Complete]:[Budget - Pharmacy Complete]],TRUE)=3,TRUE,FALSE))</f>
        <v/>
      </c>
      <c r="FC8" s="6" t="b">
        <f>IF(AND(Register[[#This Row],[Study Details Complete]]=TRUE,Register[[#This Row],[CDA Complete]]=TRUE,Register[[#This Row],[FS Complete]]=TRUE,Register[[#This Row],[Site Selection Complete]]=TRUE,Register[[#This Row],[Recruitment Complete]]=TRUE,Register[[#This Row],[Overall Ethics]]=TRUE,Register[[#This Row],[Overall Governance]]=TRUE,Register[[#This Row],[Budget - VTG Complete]]=TRUE,Register[[#This Row],[Budget - TKI Complete]]=TRUE,Register[[#This Row],[Budget - Pharmacy Complete]]=TRUE,Register[[#This Row],[Indemnity Complete]]=TRUE,Register[[#This Row],[CTRA Complete]]=TRUE,Register[[#This Row],[Fin Disc Complete]]=TRUE,Register[[#This Row],[SIV Complete]]=TRUE),TRUE,FALSE)</f>
        <v>0</v>
      </c>
      <c r="FD8" s="15">
        <f>IFERROR(MATCH(FALSE,Register[[#This Row],[Study Details Complete]:[SIV Complete]],0),1)</f>
        <v>1</v>
      </c>
    </row>
    <row r="9" spans="4:160" x14ac:dyDescent="0.25">
      <c r="D9" s="5">
        <v>44452.376064814816</v>
      </c>
      <c r="E9" s="6" t="s">
        <v>87</v>
      </c>
      <c r="F9" s="5"/>
      <c r="G9" s="6"/>
      <c r="H9" s="5">
        <v>44468.903009259258</v>
      </c>
      <c r="I9" s="6" t="s">
        <v>87</v>
      </c>
      <c r="J9" s="4" t="s">
        <v>243</v>
      </c>
      <c r="K9" s="4" t="s">
        <v>102</v>
      </c>
      <c r="L9" s="4" t="s">
        <v>103</v>
      </c>
      <c r="M9" s="4" t="s">
        <v>85</v>
      </c>
      <c r="N9" s="4" t="s">
        <v>101</v>
      </c>
      <c r="O9" s="4" t="s">
        <v>104</v>
      </c>
      <c r="P9" s="7"/>
      <c r="Q9" s="5">
        <v>44468.902997685182</v>
      </c>
      <c r="R9" s="6" t="s">
        <v>87</v>
      </c>
      <c r="S9" s="4"/>
      <c r="T9" s="4"/>
      <c r="U9" s="4"/>
      <c r="V9" s="4"/>
      <c r="W9" s="4"/>
      <c r="X9" s="4"/>
      <c r="Y9" s="4"/>
      <c r="Z9" s="4"/>
      <c r="AA9" s="4"/>
      <c r="AB9" s="4"/>
      <c r="AC9" s="4"/>
      <c r="AD9" s="6"/>
      <c r="AE9" s="5"/>
      <c r="AF9" s="6"/>
      <c r="AG9" s="4"/>
      <c r="AH9" s="4"/>
      <c r="AI9" s="4"/>
      <c r="AJ9" s="4"/>
      <c r="AK9" s="4"/>
      <c r="AL9" s="6"/>
      <c r="AM9" s="5"/>
      <c r="AN9" s="6"/>
      <c r="AO9" s="4"/>
      <c r="AP9" s="6"/>
      <c r="AQ9" s="5"/>
      <c r="AR9" s="6"/>
      <c r="AS9" s="4"/>
      <c r="AT9" s="4"/>
      <c r="AU9" s="4"/>
      <c r="AV9" s="4"/>
      <c r="AW9" s="4"/>
      <c r="AX9" s="4"/>
      <c r="AY9" s="4"/>
      <c r="AZ9" s="4"/>
      <c r="BA9" s="4"/>
      <c r="BB9" s="4"/>
      <c r="BC9" s="4"/>
      <c r="BD9" s="4"/>
      <c r="BE9" s="4"/>
      <c r="BF9" s="4"/>
      <c r="BG9" s="4"/>
      <c r="BH9" s="4"/>
      <c r="BI9" s="4"/>
      <c r="BJ9" s="4"/>
      <c r="BK9" s="4"/>
      <c r="BL9" s="5"/>
      <c r="BM9" s="6"/>
      <c r="BN9" s="4"/>
      <c r="BO9" s="4"/>
      <c r="BP9" s="4"/>
      <c r="BQ9" s="4"/>
      <c r="BR9" s="4"/>
      <c r="BS9" s="4"/>
      <c r="BT9" s="4"/>
      <c r="BU9" s="4"/>
      <c r="BV9" s="4"/>
      <c r="BW9" s="4"/>
      <c r="BX9" s="4"/>
      <c r="BY9" s="4"/>
      <c r="BZ9" s="4"/>
      <c r="CA9" s="4"/>
      <c r="CB9" s="4"/>
      <c r="CC9" s="4"/>
      <c r="CD9" s="4"/>
      <c r="CE9" s="4"/>
      <c r="CF9" s="4"/>
      <c r="CG9" s="4"/>
      <c r="CH9" s="4"/>
      <c r="CI9" s="4"/>
      <c r="CJ9" s="4"/>
      <c r="CK9" s="4"/>
      <c r="CL9" s="4"/>
      <c r="CM9" s="4"/>
      <c r="CN9" s="4"/>
      <c r="CO9" s="4"/>
      <c r="CP9" s="4"/>
      <c r="CQ9" s="5"/>
      <c r="CR9" s="6"/>
      <c r="CS9" s="4"/>
      <c r="CT9" s="4"/>
      <c r="CU9" s="4"/>
      <c r="CV9" s="4"/>
      <c r="CW9" s="4"/>
      <c r="CX9" s="4"/>
      <c r="CY9" s="4"/>
      <c r="CZ9" s="4"/>
      <c r="DA9" s="4"/>
      <c r="DB9" s="5"/>
      <c r="DC9" s="6"/>
      <c r="DD9" s="4"/>
      <c r="DE9" s="4"/>
      <c r="DF9" s="4"/>
      <c r="DG9" s="6"/>
      <c r="DH9" s="5"/>
      <c r="DI9" s="6"/>
      <c r="DJ9" s="4"/>
      <c r="DK9" s="4"/>
      <c r="DL9" s="4"/>
      <c r="DM9" s="4"/>
      <c r="DN9" s="4"/>
      <c r="DO9" s="4"/>
      <c r="DP9" s="4"/>
      <c r="DQ9" s="6"/>
      <c r="DR9" s="5"/>
      <c r="DS9" s="6"/>
      <c r="DT9" s="4"/>
      <c r="DU9" s="6"/>
      <c r="DV9" s="5"/>
      <c r="DW9" s="6"/>
      <c r="DX9" s="4"/>
      <c r="DY9" s="6"/>
      <c r="DZ9" s="5"/>
      <c r="EA9" s="6"/>
      <c r="EB9" s="6" t="b">
        <v>1</v>
      </c>
      <c r="EC9" s="6"/>
      <c r="ED9" s="6"/>
      <c r="EE9" s="6"/>
      <c r="EF9" s="6"/>
      <c r="EG9" s="6"/>
      <c r="EH9" s="6"/>
      <c r="EI9" s="6"/>
      <c r="EJ9" s="6"/>
      <c r="EK9" s="6"/>
      <c r="EL9" s="6"/>
      <c r="EM9" s="6"/>
      <c r="EN9" s="6"/>
      <c r="EO9" s="6"/>
      <c r="EP9" s="6"/>
      <c r="EQ9" s="6"/>
      <c r="ER9" s="6"/>
      <c r="ES9" s="6"/>
      <c r="ET9" s="6"/>
      <c r="EU9" s="6"/>
      <c r="EV9" s="6"/>
      <c r="EW9" s="6"/>
      <c r="EX9" s="6"/>
      <c r="EY9" s="6"/>
      <c r="EZ9" s="15" t="str">
        <f>IF(COUNTA(Register[[#This Row],[Ethics - CAHS Complete]:[Ethics - Others Complete]])=0, "",IF(COUNTIF(Register[[#This Row],[Ethics - CAHS Complete]:[Ethics - Others Complete]],TRUE)&gt;0,TRUE,FALSE))</f>
        <v/>
      </c>
      <c r="FA9" s="6" t="str">
        <f>IF(COUNTA(Register[[#This Row],[Gov - PCH Complete]:[Gov - Others Complete]])=0,"",IF(COUNTIF(Register[[#This Row],[Gov - PCH Complete]:[Gov - Others Complete]],TRUE)&gt;0,TRUE,FALSE))</f>
        <v/>
      </c>
      <c r="FB9" s="6" t="str">
        <f>IF(COUNTA(Register[[#This Row],[Budget - VTG Complete]:[Budget - Pharmacy Complete]])=0,"",IF(COUNTIF(Register[[#This Row],[Budget - VTG Complete]:[Budget - Pharmacy Complete]],TRUE)=3,TRUE,FALSE))</f>
        <v/>
      </c>
      <c r="FC9" s="6" t="b">
        <f>IF(AND(Register[[#This Row],[Study Details Complete]]=TRUE,Register[[#This Row],[CDA Complete]]=TRUE,Register[[#This Row],[FS Complete]]=TRUE,Register[[#This Row],[Site Selection Complete]]=TRUE,Register[[#This Row],[Recruitment Complete]]=TRUE,Register[[#This Row],[Overall Ethics]]=TRUE,Register[[#This Row],[Overall Governance]]=TRUE,Register[[#This Row],[Budget - VTG Complete]]=TRUE,Register[[#This Row],[Budget - TKI Complete]]=TRUE,Register[[#This Row],[Budget - Pharmacy Complete]]=TRUE,Register[[#This Row],[Indemnity Complete]]=TRUE,Register[[#This Row],[CTRA Complete]]=TRUE,Register[[#This Row],[Fin Disc Complete]]=TRUE,Register[[#This Row],[SIV Complete]]=TRUE),TRUE,FALSE)</f>
        <v>0</v>
      </c>
      <c r="FD9" s="15">
        <f>IFERROR(MATCH(FALSE,Register[[#This Row],[Study Details Complete]:[SIV Complete]],0),1)</f>
        <v>1</v>
      </c>
    </row>
    <row r="10" spans="4:160" x14ac:dyDescent="0.25">
      <c r="D10" s="5">
        <v>44452.376736111109</v>
      </c>
      <c r="E10" s="6" t="s">
        <v>87</v>
      </c>
      <c r="F10" s="5"/>
      <c r="G10" s="6"/>
      <c r="H10" s="5">
        <v>44468.903043981481</v>
      </c>
      <c r="I10" s="6" t="s">
        <v>87</v>
      </c>
      <c r="J10" s="4" t="s">
        <v>243</v>
      </c>
      <c r="K10" s="4" t="s">
        <v>105</v>
      </c>
      <c r="L10" s="4" t="s">
        <v>106</v>
      </c>
      <c r="M10" s="4" t="s">
        <v>85</v>
      </c>
      <c r="N10" s="4"/>
      <c r="O10" s="4"/>
      <c r="P10" s="7"/>
      <c r="Q10" s="5">
        <v>44468.903020833335</v>
      </c>
      <c r="R10" s="6" t="s">
        <v>87</v>
      </c>
      <c r="S10" s="4"/>
      <c r="T10" s="4"/>
      <c r="U10" s="4"/>
      <c r="V10" s="4"/>
      <c r="W10" s="4"/>
      <c r="X10" s="4"/>
      <c r="Y10" s="4"/>
      <c r="Z10" s="4"/>
      <c r="AA10" s="4"/>
      <c r="AB10" s="4"/>
      <c r="AC10" s="4"/>
      <c r="AD10" s="6"/>
      <c r="AE10" s="5"/>
      <c r="AF10" s="6"/>
      <c r="AG10" s="4"/>
      <c r="AH10" s="4"/>
      <c r="AI10" s="4"/>
      <c r="AJ10" s="4"/>
      <c r="AK10" s="4"/>
      <c r="AL10" s="6"/>
      <c r="AM10" s="5"/>
      <c r="AN10" s="6"/>
      <c r="AO10" s="4"/>
      <c r="AP10" s="6"/>
      <c r="AQ10" s="5"/>
      <c r="AR10" s="6"/>
      <c r="AS10" s="4"/>
      <c r="AT10" s="4"/>
      <c r="AU10" s="4"/>
      <c r="AV10" s="4"/>
      <c r="AW10" s="4"/>
      <c r="AX10" s="4"/>
      <c r="AY10" s="4"/>
      <c r="AZ10" s="4"/>
      <c r="BA10" s="4"/>
      <c r="BB10" s="4"/>
      <c r="BC10" s="4"/>
      <c r="BD10" s="4"/>
      <c r="BE10" s="4"/>
      <c r="BF10" s="4"/>
      <c r="BG10" s="4"/>
      <c r="BH10" s="4"/>
      <c r="BI10" s="4"/>
      <c r="BJ10" s="4"/>
      <c r="BK10" s="4"/>
      <c r="BL10" s="5"/>
      <c r="BM10" s="6"/>
      <c r="BN10" s="4"/>
      <c r="BO10" s="4"/>
      <c r="BP10" s="4"/>
      <c r="BQ10" s="4"/>
      <c r="BR10" s="4"/>
      <c r="BS10" s="4"/>
      <c r="BT10" s="4"/>
      <c r="BU10" s="4"/>
      <c r="BV10" s="4"/>
      <c r="BW10" s="4"/>
      <c r="BX10" s="4"/>
      <c r="BY10" s="4"/>
      <c r="BZ10" s="4"/>
      <c r="CA10" s="4"/>
      <c r="CB10" s="4"/>
      <c r="CC10" s="4"/>
      <c r="CD10" s="4"/>
      <c r="CE10" s="4"/>
      <c r="CF10" s="4"/>
      <c r="CG10" s="4"/>
      <c r="CH10" s="4"/>
      <c r="CI10" s="4"/>
      <c r="CJ10" s="4"/>
      <c r="CK10" s="4"/>
      <c r="CL10" s="4"/>
      <c r="CM10" s="4"/>
      <c r="CN10" s="4"/>
      <c r="CO10" s="4"/>
      <c r="CP10" s="4"/>
      <c r="CQ10" s="5"/>
      <c r="CR10" s="6"/>
      <c r="CS10" s="4"/>
      <c r="CT10" s="4"/>
      <c r="CU10" s="4"/>
      <c r="CV10" s="4"/>
      <c r="CW10" s="4"/>
      <c r="CX10" s="4"/>
      <c r="CY10" s="4"/>
      <c r="CZ10" s="4"/>
      <c r="DA10" s="4"/>
      <c r="DB10" s="5"/>
      <c r="DC10" s="6"/>
      <c r="DD10" s="4"/>
      <c r="DE10" s="4"/>
      <c r="DF10" s="4"/>
      <c r="DG10" s="6"/>
      <c r="DH10" s="5"/>
      <c r="DI10" s="6"/>
      <c r="DJ10" s="4"/>
      <c r="DK10" s="4"/>
      <c r="DL10" s="4"/>
      <c r="DM10" s="4"/>
      <c r="DN10" s="4"/>
      <c r="DO10" s="4"/>
      <c r="DP10" s="4"/>
      <c r="DQ10" s="6"/>
      <c r="DR10" s="5"/>
      <c r="DS10" s="6"/>
      <c r="DT10" s="4"/>
      <c r="DU10" s="6"/>
      <c r="DV10" s="5"/>
      <c r="DW10" s="6"/>
      <c r="DX10" s="4"/>
      <c r="DY10" s="6"/>
      <c r="DZ10" s="5"/>
      <c r="EA10" s="6"/>
      <c r="EB10" s="6" t="b">
        <v>0</v>
      </c>
      <c r="EC10" s="6"/>
      <c r="ED10" s="6"/>
      <c r="EE10" s="6"/>
      <c r="EF10" s="6"/>
      <c r="EG10" s="6"/>
      <c r="EH10" s="6"/>
      <c r="EI10" s="6"/>
      <c r="EJ10" s="6"/>
      <c r="EK10" s="6"/>
      <c r="EL10" s="6"/>
      <c r="EM10" s="6"/>
      <c r="EN10" s="6"/>
      <c r="EO10" s="6"/>
      <c r="EP10" s="6"/>
      <c r="EQ10" s="6"/>
      <c r="ER10" s="6"/>
      <c r="ES10" s="6"/>
      <c r="ET10" s="6"/>
      <c r="EU10" s="6"/>
      <c r="EV10" s="6"/>
      <c r="EW10" s="6"/>
      <c r="EX10" s="6"/>
      <c r="EY10" s="6"/>
      <c r="EZ10" s="15" t="str">
        <f>IF(COUNTA(Register[[#This Row],[Ethics - CAHS Complete]:[Ethics - Others Complete]])=0, "",IF(COUNTIF(Register[[#This Row],[Ethics - CAHS Complete]:[Ethics - Others Complete]],TRUE)&gt;0,TRUE,FALSE))</f>
        <v/>
      </c>
      <c r="FA10" s="6" t="str">
        <f>IF(COUNTA(Register[[#This Row],[Gov - PCH Complete]:[Gov - Others Complete]])=0,"",IF(COUNTIF(Register[[#This Row],[Gov - PCH Complete]:[Gov - Others Complete]],TRUE)&gt;0,TRUE,FALSE))</f>
        <v/>
      </c>
      <c r="FB10" s="6" t="str">
        <f>IF(COUNTA(Register[[#This Row],[Budget - VTG Complete]:[Budget - Pharmacy Complete]])=0,"",IF(COUNTIF(Register[[#This Row],[Budget - VTG Complete]:[Budget - Pharmacy Complete]],TRUE)=3,TRUE,FALSE))</f>
        <v/>
      </c>
      <c r="FC10" s="6" t="b">
        <f>IF(AND(Register[[#This Row],[Study Details Complete]]=TRUE,Register[[#This Row],[CDA Complete]]=TRUE,Register[[#This Row],[FS Complete]]=TRUE,Register[[#This Row],[Site Selection Complete]]=TRUE,Register[[#This Row],[Recruitment Complete]]=TRUE,Register[[#This Row],[Overall Ethics]]=TRUE,Register[[#This Row],[Overall Governance]]=TRUE,Register[[#This Row],[Budget - VTG Complete]]=TRUE,Register[[#This Row],[Budget - TKI Complete]]=TRUE,Register[[#This Row],[Budget - Pharmacy Complete]]=TRUE,Register[[#This Row],[Indemnity Complete]]=TRUE,Register[[#This Row],[CTRA Complete]]=TRUE,Register[[#This Row],[Fin Disc Complete]]=TRUE,Register[[#This Row],[SIV Complete]]=TRUE),TRUE,FALSE)</f>
        <v>0</v>
      </c>
      <c r="FD10" s="15">
        <f>IFERROR(MATCH(FALSE,Register[[#This Row],[Study Details Complete]:[SIV Complete]],0),1)</f>
        <v>1</v>
      </c>
    </row>
    <row r="11" spans="4:160" x14ac:dyDescent="0.25">
      <c r="D11" s="5">
        <v>44452.377106481479</v>
      </c>
      <c r="E11" s="6" t="s">
        <v>87</v>
      </c>
      <c r="F11" s="5"/>
      <c r="G11" s="6"/>
      <c r="H11" s="5">
        <v>44468.903067129628</v>
      </c>
      <c r="I11" s="6" t="s">
        <v>87</v>
      </c>
      <c r="J11" s="4" t="s">
        <v>243</v>
      </c>
      <c r="K11" s="4" t="s">
        <v>105</v>
      </c>
      <c r="L11" s="4" t="s">
        <v>107</v>
      </c>
      <c r="M11" s="4" t="s">
        <v>81</v>
      </c>
      <c r="N11" s="4"/>
      <c r="O11" s="4"/>
      <c r="P11" s="7"/>
      <c r="Q11" s="5">
        <v>44468.903055555558</v>
      </c>
      <c r="R11" s="6" t="s">
        <v>87</v>
      </c>
      <c r="S11" s="4"/>
      <c r="T11" s="4"/>
      <c r="U11" s="4"/>
      <c r="V11" s="4"/>
      <c r="W11" s="4"/>
      <c r="X11" s="4"/>
      <c r="Y11" s="4"/>
      <c r="Z11" s="4"/>
      <c r="AA11" s="4"/>
      <c r="AB11" s="4"/>
      <c r="AC11" s="4"/>
      <c r="AD11" s="6"/>
      <c r="AE11" s="5"/>
      <c r="AF11" s="6"/>
      <c r="AG11" s="4"/>
      <c r="AH11" s="4"/>
      <c r="AI11" s="4"/>
      <c r="AJ11" s="4"/>
      <c r="AK11" s="4"/>
      <c r="AL11" s="6"/>
      <c r="AM11" s="5"/>
      <c r="AN11" s="6"/>
      <c r="AO11" s="4"/>
      <c r="AP11" s="6"/>
      <c r="AQ11" s="5"/>
      <c r="AR11" s="6"/>
      <c r="AS11" s="4"/>
      <c r="AT11" s="4"/>
      <c r="AU11" s="4"/>
      <c r="AV11" s="4"/>
      <c r="AW11" s="4"/>
      <c r="AX11" s="4"/>
      <c r="AY11" s="4"/>
      <c r="AZ11" s="4"/>
      <c r="BA11" s="4"/>
      <c r="BB11" s="4"/>
      <c r="BC11" s="4"/>
      <c r="BD11" s="4"/>
      <c r="BE11" s="4"/>
      <c r="BF11" s="4"/>
      <c r="BG11" s="4"/>
      <c r="BH11" s="4"/>
      <c r="BI11" s="4"/>
      <c r="BJ11" s="4"/>
      <c r="BK11" s="4"/>
      <c r="BL11" s="5"/>
      <c r="BM11" s="6"/>
      <c r="BN11" s="4"/>
      <c r="BO11" s="4"/>
      <c r="BP11" s="4"/>
      <c r="BQ11" s="4"/>
      <c r="BR11" s="4"/>
      <c r="BS11" s="4"/>
      <c r="BT11" s="4"/>
      <c r="BU11" s="4"/>
      <c r="BV11" s="4"/>
      <c r="BW11" s="4"/>
      <c r="BX11" s="4"/>
      <c r="BY11" s="4"/>
      <c r="BZ11" s="4"/>
      <c r="CA11" s="4"/>
      <c r="CB11" s="4"/>
      <c r="CC11" s="4"/>
      <c r="CD11" s="4"/>
      <c r="CE11" s="4"/>
      <c r="CF11" s="4"/>
      <c r="CG11" s="4"/>
      <c r="CH11" s="4"/>
      <c r="CI11" s="4"/>
      <c r="CJ11" s="4"/>
      <c r="CK11" s="4"/>
      <c r="CL11" s="4"/>
      <c r="CM11" s="4"/>
      <c r="CN11" s="4"/>
      <c r="CO11" s="4"/>
      <c r="CP11" s="4"/>
      <c r="CQ11" s="5"/>
      <c r="CR11" s="6"/>
      <c r="CS11" s="4"/>
      <c r="CT11" s="4"/>
      <c r="CU11" s="4"/>
      <c r="CV11" s="4"/>
      <c r="CW11" s="4"/>
      <c r="CX11" s="4"/>
      <c r="CY11" s="4"/>
      <c r="CZ11" s="4"/>
      <c r="DA11" s="4"/>
      <c r="DB11" s="5"/>
      <c r="DC11" s="6"/>
      <c r="DD11" s="4"/>
      <c r="DE11" s="4"/>
      <c r="DF11" s="4"/>
      <c r="DG11" s="6"/>
      <c r="DH11" s="5"/>
      <c r="DI11" s="6"/>
      <c r="DJ11" s="4"/>
      <c r="DK11" s="4"/>
      <c r="DL11" s="4"/>
      <c r="DM11" s="4"/>
      <c r="DN11" s="4"/>
      <c r="DO11" s="4"/>
      <c r="DP11" s="4"/>
      <c r="DQ11" s="6"/>
      <c r="DR11" s="5"/>
      <c r="DS11" s="6"/>
      <c r="DT11" s="4"/>
      <c r="DU11" s="6"/>
      <c r="DV11" s="5"/>
      <c r="DW11" s="6"/>
      <c r="DX11" s="4"/>
      <c r="DY11" s="6"/>
      <c r="DZ11" s="5"/>
      <c r="EA11" s="6"/>
      <c r="EB11" s="6" t="b">
        <v>0</v>
      </c>
      <c r="EC11" s="6"/>
      <c r="ED11" s="6"/>
      <c r="EE11" s="6"/>
      <c r="EF11" s="6"/>
      <c r="EG11" s="6"/>
      <c r="EH11" s="6"/>
      <c r="EI11" s="6"/>
      <c r="EJ11" s="6"/>
      <c r="EK11" s="6"/>
      <c r="EL11" s="6"/>
      <c r="EM11" s="6"/>
      <c r="EN11" s="6"/>
      <c r="EO11" s="6"/>
      <c r="EP11" s="6"/>
      <c r="EQ11" s="6"/>
      <c r="ER11" s="6"/>
      <c r="ES11" s="6"/>
      <c r="ET11" s="6"/>
      <c r="EU11" s="6"/>
      <c r="EV11" s="6"/>
      <c r="EW11" s="6"/>
      <c r="EX11" s="6"/>
      <c r="EY11" s="6"/>
      <c r="EZ11" s="15" t="str">
        <f>IF(COUNTA(Register[[#This Row],[Ethics - CAHS Complete]:[Ethics - Others Complete]])=0, "",IF(COUNTIF(Register[[#This Row],[Ethics - CAHS Complete]:[Ethics - Others Complete]],TRUE)&gt;0,TRUE,FALSE))</f>
        <v/>
      </c>
      <c r="FA11" s="6" t="str">
        <f>IF(COUNTA(Register[[#This Row],[Gov - PCH Complete]:[Gov - Others Complete]])=0,"",IF(COUNTIF(Register[[#This Row],[Gov - PCH Complete]:[Gov - Others Complete]],TRUE)&gt;0,TRUE,FALSE))</f>
        <v/>
      </c>
      <c r="FB11" s="6" t="str">
        <f>IF(COUNTA(Register[[#This Row],[Budget - VTG Complete]:[Budget - Pharmacy Complete]])=0,"",IF(COUNTIF(Register[[#This Row],[Budget - VTG Complete]:[Budget - Pharmacy Complete]],TRUE)=3,TRUE,FALSE))</f>
        <v/>
      </c>
      <c r="FC11" s="6" t="b">
        <f>IF(AND(Register[[#This Row],[Study Details Complete]]=TRUE,Register[[#This Row],[CDA Complete]]=TRUE,Register[[#This Row],[FS Complete]]=TRUE,Register[[#This Row],[Site Selection Complete]]=TRUE,Register[[#This Row],[Recruitment Complete]]=TRUE,Register[[#This Row],[Overall Ethics]]=TRUE,Register[[#This Row],[Overall Governance]]=TRUE,Register[[#This Row],[Budget - VTG Complete]]=TRUE,Register[[#This Row],[Budget - TKI Complete]]=TRUE,Register[[#This Row],[Budget - Pharmacy Complete]]=TRUE,Register[[#This Row],[Indemnity Complete]]=TRUE,Register[[#This Row],[CTRA Complete]]=TRUE,Register[[#This Row],[Fin Disc Complete]]=TRUE,Register[[#This Row],[SIV Complete]]=TRUE),TRUE,FALSE)</f>
        <v>0</v>
      </c>
      <c r="FD11" s="15">
        <f>IFERROR(MATCH(FALSE,Register[[#This Row],[Study Details Complete]:[SIV Complete]],0),1)</f>
        <v>1</v>
      </c>
    </row>
    <row r="12" spans="4:160" x14ac:dyDescent="0.25">
      <c r="D12" s="5">
        <v>44452.381851851853</v>
      </c>
      <c r="E12" s="6" t="s">
        <v>87</v>
      </c>
      <c r="F12" s="5"/>
      <c r="G12" s="6"/>
      <c r="H12" s="5">
        <v>44468.903101851851</v>
      </c>
      <c r="I12" s="6" t="s">
        <v>87</v>
      </c>
      <c r="J12" s="4" t="s">
        <v>243</v>
      </c>
      <c r="K12" s="4" t="s">
        <v>110</v>
      </c>
      <c r="L12" s="4" t="s">
        <v>111</v>
      </c>
      <c r="M12" s="4" t="s">
        <v>82</v>
      </c>
      <c r="N12" s="4" t="s">
        <v>112</v>
      </c>
      <c r="O12" s="4" t="s">
        <v>113</v>
      </c>
      <c r="P12" s="7" t="s">
        <v>114</v>
      </c>
      <c r="Q12" s="5">
        <v>44468.903090277781</v>
      </c>
      <c r="R12" s="6" t="s">
        <v>87</v>
      </c>
      <c r="S12" s="19">
        <v>43840</v>
      </c>
      <c r="T12" s="19">
        <v>43842</v>
      </c>
      <c r="U12" s="19">
        <v>43863</v>
      </c>
      <c r="V12" s="19">
        <v>43891</v>
      </c>
      <c r="W12" s="19">
        <v>43921</v>
      </c>
      <c r="X12" s="19" t="s">
        <v>244</v>
      </c>
      <c r="Y12" s="19">
        <v>44463.577766203707</v>
      </c>
      <c r="Z12" s="19" t="s">
        <v>87</v>
      </c>
      <c r="AA12" s="19">
        <v>43845</v>
      </c>
      <c r="AB12" s="19">
        <v>43921</v>
      </c>
      <c r="AC12" s="4" t="s">
        <v>145</v>
      </c>
      <c r="AD12" s="6" t="s">
        <v>245</v>
      </c>
      <c r="AE12" s="5">
        <v>44463.577824074076</v>
      </c>
      <c r="AF12" s="6" t="s">
        <v>87</v>
      </c>
      <c r="AG12" s="19">
        <v>43910</v>
      </c>
      <c r="AH12" s="4" t="s">
        <v>84</v>
      </c>
      <c r="AI12" s="19">
        <v>43917</v>
      </c>
      <c r="AJ12" s="4" t="s">
        <v>86</v>
      </c>
      <c r="AK12" s="19">
        <v>43922</v>
      </c>
      <c r="AL12" s="6" t="s">
        <v>115</v>
      </c>
      <c r="AM12" s="5">
        <v>44452.384421296294</v>
      </c>
      <c r="AN12" s="6" t="s">
        <v>87</v>
      </c>
      <c r="AO12" s="19">
        <v>43926</v>
      </c>
      <c r="AP12" s="6" t="s">
        <v>116</v>
      </c>
      <c r="AQ12" s="5">
        <v>44452.38484953704</v>
      </c>
      <c r="AR12" s="6" t="s">
        <v>87</v>
      </c>
      <c r="AS12" s="19">
        <v>43983</v>
      </c>
      <c r="AT12" s="19">
        <v>44440</v>
      </c>
      <c r="AU12" s="19">
        <v>44228</v>
      </c>
      <c r="AV12" s="19">
        <v>44012</v>
      </c>
      <c r="AW12" s="19"/>
      <c r="AX12" s="4" t="s">
        <v>146</v>
      </c>
      <c r="AY12" s="19">
        <v>43831</v>
      </c>
      <c r="AZ12" s="19">
        <v>43856</v>
      </c>
      <c r="BA12" s="19"/>
      <c r="BB12" s="19">
        <v>43850</v>
      </c>
      <c r="BC12" s="19">
        <v>43854</v>
      </c>
      <c r="BD12" s="19"/>
      <c r="BE12" s="4"/>
      <c r="BF12" s="4"/>
      <c r="BG12" s="4"/>
      <c r="BH12" s="4"/>
      <c r="BI12" s="19"/>
      <c r="BJ12" s="4"/>
      <c r="BK12" s="4"/>
      <c r="BL12" s="5">
        <v>44466.992627314816</v>
      </c>
      <c r="BM12" s="6" t="s">
        <v>87</v>
      </c>
      <c r="BN12" s="19">
        <v>43983</v>
      </c>
      <c r="BO12" s="19">
        <v>43956</v>
      </c>
      <c r="BP12" s="19">
        <v>44083</v>
      </c>
      <c r="BQ12" s="19"/>
      <c r="BR12" s="19">
        <v>44013</v>
      </c>
      <c r="BS12" s="19">
        <v>44017</v>
      </c>
      <c r="BT12" s="19">
        <v>44044</v>
      </c>
      <c r="BU12" s="19"/>
      <c r="BV12" s="4"/>
      <c r="BW12" s="4"/>
      <c r="BX12" s="4"/>
      <c r="BY12" s="4"/>
      <c r="BZ12" s="4"/>
      <c r="CA12" s="4"/>
      <c r="CB12" s="4"/>
      <c r="CC12" s="4"/>
      <c r="CD12" s="4"/>
      <c r="CE12" s="4"/>
      <c r="CF12" s="4"/>
      <c r="CG12" s="4"/>
      <c r="CH12" s="4"/>
      <c r="CI12" s="4"/>
      <c r="CJ12" s="4"/>
      <c r="CK12" s="4"/>
      <c r="CL12" s="4"/>
      <c r="CM12" s="4"/>
      <c r="CN12" s="4"/>
      <c r="CO12" s="4"/>
      <c r="CP12" s="4"/>
      <c r="CQ12" s="5">
        <v>44467.001250000001</v>
      </c>
      <c r="CR12" s="6" t="s">
        <v>87</v>
      </c>
      <c r="CS12" s="19">
        <v>44044</v>
      </c>
      <c r="CT12" s="19">
        <v>44058</v>
      </c>
      <c r="CU12" s="19">
        <v>44075</v>
      </c>
      <c r="CV12" s="19"/>
      <c r="CW12" s="19">
        <v>44079</v>
      </c>
      <c r="CX12" s="19"/>
      <c r="CY12" s="19">
        <v>44044</v>
      </c>
      <c r="CZ12" s="19">
        <v>44104</v>
      </c>
      <c r="DA12" s="19"/>
      <c r="DB12" s="5">
        <v>44467.00136574074</v>
      </c>
      <c r="DC12" s="6" t="s">
        <v>87</v>
      </c>
      <c r="DD12" s="19">
        <v>44136</v>
      </c>
      <c r="DE12" s="19">
        <v>44136</v>
      </c>
      <c r="DF12" s="19">
        <v>44197</v>
      </c>
      <c r="DG12" s="6" t="s">
        <v>120</v>
      </c>
      <c r="DH12" s="5">
        <v>44466.994212962964</v>
      </c>
      <c r="DI12" s="6" t="s">
        <v>87</v>
      </c>
      <c r="DJ12" s="19">
        <v>43952</v>
      </c>
      <c r="DK12" s="19">
        <v>43954</v>
      </c>
      <c r="DL12" s="19">
        <v>43955</v>
      </c>
      <c r="DM12" s="19">
        <v>43957</v>
      </c>
      <c r="DN12" s="19">
        <v>43957</v>
      </c>
      <c r="DO12" s="19">
        <v>43958</v>
      </c>
      <c r="DP12" s="19">
        <v>43959</v>
      </c>
      <c r="DQ12" s="6" t="s">
        <v>117</v>
      </c>
      <c r="DR12" s="5">
        <v>44467.001828703702</v>
      </c>
      <c r="DS12" s="6" t="s">
        <v>87</v>
      </c>
      <c r="DT12" s="19">
        <v>44124</v>
      </c>
      <c r="DU12" s="6" t="s">
        <v>118</v>
      </c>
      <c r="DV12" s="5">
        <v>44467.001967592594</v>
      </c>
      <c r="DW12" s="6" t="s">
        <v>87</v>
      </c>
      <c r="DX12" s="19">
        <v>44593</v>
      </c>
      <c r="DY12" s="6" t="s">
        <v>119</v>
      </c>
      <c r="DZ12" s="5">
        <v>44467.007708333331</v>
      </c>
      <c r="EA12" s="6" t="s">
        <v>87</v>
      </c>
      <c r="EB12" s="6" t="b">
        <v>1</v>
      </c>
      <c r="EC12" s="6" t="b">
        <v>1</v>
      </c>
      <c r="ED12" s="6" t="b">
        <v>1</v>
      </c>
      <c r="EE12" s="6" t="b">
        <v>1</v>
      </c>
      <c r="EF12" s="6" t="b">
        <v>1</v>
      </c>
      <c r="EG12" s="6" t="b">
        <v>1</v>
      </c>
      <c r="EH12" s="6" t="b">
        <v>1</v>
      </c>
      <c r="EI12" s="6" t="b">
        <v>1</v>
      </c>
      <c r="EJ12" s="6"/>
      <c r="EK12" s="6"/>
      <c r="EL12" s="6" t="b">
        <v>1</v>
      </c>
      <c r="EM12" s="6" t="b">
        <v>1</v>
      </c>
      <c r="EN12" s="6"/>
      <c r="EO12" s="6"/>
      <c r="EP12" s="6"/>
      <c r="EQ12" s="6"/>
      <c r="ER12" s="6"/>
      <c r="ES12" s="6" t="b">
        <v>1</v>
      </c>
      <c r="ET12" s="6" t="b">
        <v>1</v>
      </c>
      <c r="EU12" s="6" t="b">
        <v>1</v>
      </c>
      <c r="EV12" s="6" t="b">
        <v>1</v>
      </c>
      <c r="EW12" s="6" t="b">
        <v>1</v>
      </c>
      <c r="EX12" s="6" t="b">
        <v>1</v>
      </c>
      <c r="EY12" s="6" t="b">
        <v>1</v>
      </c>
      <c r="EZ12" s="15" t="b">
        <f>IF(COUNTA(Register[[#This Row],[Ethics - CAHS Complete]:[Ethics - Others Complete]])=0, "",IF(COUNTIF(Register[[#This Row],[Ethics - CAHS Complete]:[Ethics - Others Complete]],TRUE)&gt;0,TRUE,FALSE))</f>
        <v>1</v>
      </c>
      <c r="FA12" s="6" t="b">
        <f>IF(COUNTA(Register[[#This Row],[Gov - PCH Complete]:[Gov - Others Complete]])=0,"",IF(COUNTIF(Register[[#This Row],[Gov - PCH Complete]:[Gov - Others Complete]],TRUE)&gt;0,TRUE,FALSE))</f>
        <v>1</v>
      </c>
      <c r="FB12" s="6" t="b">
        <f>IF(COUNTA(Register[[#This Row],[Budget - VTG Complete]:[Budget - Pharmacy Complete]])=0,"",IF(COUNTIF(Register[[#This Row],[Budget - VTG Complete]:[Budget - Pharmacy Complete]],TRUE)=3,TRUE,FALSE))</f>
        <v>1</v>
      </c>
      <c r="FC12" s="6" t="b">
        <f>IF(AND(Register[[#This Row],[Study Details Complete]]=TRUE,Register[[#This Row],[CDA Complete]]=TRUE,Register[[#This Row],[FS Complete]]=TRUE,Register[[#This Row],[Site Selection Complete]]=TRUE,Register[[#This Row],[Recruitment Complete]]=TRUE,Register[[#This Row],[Overall Ethics]]=TRUE,Register[[#This Row],[Overall Governance]]=TRUE,Register[[#This Row],[Budget - VTG Complete]]=TRUE,Register[[#This Row],[Budget - TKI Complete]]=TRUE,Register[[#This Row],[Budget - Pharmacy Complete]]=TRUE,Register[[#This Row],[Indemnity Complete]]=TRUE,Register[[#This Row],[CTRA Complete]]=TRUE,Register[[#This Row],[Fin Disc Complete]]=TRUE,Register[[#This Row],[SIV Complete]]=TRUE),TRUE,FALSE)</f>
        <v>1</v>
      </c>
      <c r="FD12" s="15">
        <f>IFERROR(MATCH(FALSE,Register[[#This Row],[Study Details Complete]:[SIV Complete]],0),1)</f>
        <v>1</v>
      </c>
    </row>
    <row r="13" spans="4:160" x14ac:dyDescent="0.25">
      <c r="D13" s="5">
        <v>44463.083506944444</v>
      </c>
      <c r="E13" s="6" t="s">
        <v>87</v>
      </c>
      <c r="F13" s="5"/>
      <c r="G13" s="6"/>
      <c r="H13" s="5">
        <v>44468.903136574074</v>
      </c>
      <c r="I13" s="6" t="s">
        <v>87</v>
      </c>
      <c r="J13" s="4" t="s">
        <v>243</v>
      </c>
      <c r="K13" s="4"/>
      <c r="L13" s="4" t="s">
        <v>179</v>
      </c>
      <c r="M13" s="4"/>
      <c r="N13" s="4"/>
      <c r="O13" s="4"/>
      <c r="P13" s="7"/>
      <c r="Q13" s="5">
        <v>44468.903124999997</v>
      </c>
      <c r="R13" s="6" t="s">
        <v>87</v>
      </c>
      <c r="S13" s="19"/>
      <c r="T13" s="19"/>
      <c r="U13" s="19"/>
      <c r="V13" s="19"/>
      <c r="W13" s="19"/>
      <c r="X13" s="19"/>
      <c r="Y13" s="19"/>
      <c r="Z13" s="19"/>
      <c r="AA13" s="19"/>
      <c r="AB13" s="19"/>
      <c r="AC13" s="4"/>
      <c r="AD13" s="6"/>
      <c r="AE13" s="5"/>
      <c r="AF13" s="6"/>
      <c r="AG13" s="19"/>
      <c r="AH13" s="4"/>
      <c r="AI13" s="19"/>
      <c r="AJ13" s="4"/>
      <c r="AK13" s="19"/>
      <c r="AL13" s="6"/>
      <c r="AM13" s="5"/>
      <c r="AN13" s="6"/>
      <c r="AO13" s="19"/>
      <c r="AP13" s="6"/>
      <c r="AQ13" s="5"/>
      <c r="AR13" s="6"/>
      <c r="AS13" s="19"/>
      <c r="AT13" s="4"/>
      <c r="AU13" s="4"/>
      <c r="AV13" s="19"/>
      <c r="AW13" s="19"/>
      <c r="AX13" s="4"/>
      <c r="AY13" s="19"/>
      <c r="AZ13" s="19"/>
      <c r="BA13" s="19"/>
      <c r="BB13" s="19"/>
      <c r="BC13" s="19"/>
      <c r="BD13" s="19"/>
      <c r="BE13" s="4"/>
      <c r="BF13" s="4"/>
      <c r="BG13" s="4"/>
      <c r="BH13" s="4"/>
      <c r="BI13" s="19"/>
      <c r="BJ13" s="4"/>
      <c r="BK13" s="4"/>
      <c r="BL13" s="5"/>
      <c r="BM13" s="6"/>
      <c r="BN13" s="19"/>
      <c r="BO13" s="19"/>
      <c r="BP13" s="19"/>
      <c r="BQ13" s="19"/>
      <c r="BR13" s="4"/>
      <c r="BS13" s="4"/>
      <c r="BT13" s="19"/>
      <c r="BU13" s="19"/>
      <c r="BV13" s="4"/>
      <c r="BW13" s="4"/>
      <c r="BX13" s="4"/>
      <c r="BY13" s="4"/>
      <c r="BZ13" s="4"/>
      <c r="CA13" s="4"/>
      <c r="CB13" s="4"/>
      <c r="CC13" s="4"/>
      <c r="CD13" s="4"/>
      <c r="CE13" s="4"/>
      <c r="CF13" s="4"/>
      <c r="CG13" s="4"/>
      <c r="CH13" s="4"/>
      <c r="CI13" s="4"/>
      <c r="CJ13" s="4"/>
      <c r="CK13" s="4"/>
      <c r="CL13" s="4"/>
      <c r="CM13" s="4"/>
      <c r="CN13" s="4"/>
      <c r="CO13" s="4"/>
      <c r="CP13" s="4"/>
      <c r="CQ13" s="5"/>
      <c r="CR13" s="6"/>
      <c r="CS13" s="19"/>
      <c r="CT13" s="19"/>
      <c r="CU13" s="19"/>
      <c r="CV13" s="19"/>
      <c r="CW13" s="19"/>
      <c r="CX13" s="19"/>
      <c r="CY13" s="19"/>
      <c r="CZ13" s="19"/>
      <c r="DA13" s="19"/>
      <c r="DB13" s="5"/>
      <c r="DC13" s="6"/>
      <c r="DD13" s="19"/>
      <c r="DE13" s="19"/>
      <c r="DF13" s="19"/>
      <c r="DG13" s="6"/>
      <c r="DH13" s="5"/>
      <c r="DI13" s="6"/>
      <c r="DJ13" s="19"/>
      <c r="DK13" s="19"/>
      <c r="DL13" s="4"/>
      <c r="DM13" s="19"/>
      <c r="DN13" s="19"/>
      <c r="DO13" s="19"/>
      <c r="DP13" s="19"/>
      <c r="DQ13" s="6"/>
      <c r="DR13" s="5"/>
      <c r="DS13" s="6"/>
      <c r="DT13" s="19"/>
      <c r="DU13" s="6"/>
      <c r="DV13" s="5"/>
      <c r="DW13" s="6"/>
      <c r="DX13" s="19">
        <v>43466</v>
      </c>
      <c r="DY13" s="6"/>
      <c r="DZ13" s="5">
        <v>44467.002546296295</v>
      </c>
      <c r="EA13" s="6" t="s">
        <v>87</v>
      </c>
      <c r="EB13" s="6" t="b">
        <v>0</v>
      </c>
      <c r="EC13" s="6"/>
      <c r="ED13" s="6"/>
      <c r="EE13" s="6"/>
      <c r="EF13" s="6"/>
      <c r="EG13" s="6"/>
      <c r="EH13" s="6"/>
      <c r="EI13" s="6"/>
      <c r="EJ13" s="6"/>
      <c r="EK13" s="6"/>
      <c r="EL13" s="6"/>
      <c r="EM13" s="6"/>
      <c r="EN13" s="6"/>
      <c r="EO13" s="6"/>
      <c r="EP13" s="6"/>
      <c r="EQ13" s="6"/>
      <c r="ER13" s="6"/>
      <c r="ES13" s="6"/>
      <c r="ET13" s="6"/>
      <c r="EU13" s="6"/>
      <c r="EV13" s="6"/>
      <c r="EW13" s="6"/>
      <c r="EX13" s="6"/>
      <c r="EY13" s="6" t="b">
        <v>1</v>
      </c>
      <c r="EZ13" s="15" t="str">
        <f>IF(COUNTA(Register[[#This Row],[Ethics - CAHS Complete]:[Ethics - Others Complete]])=0, "",IF(COUNTIF(Register[[#This Row],[Ethics - CAHS Complete]:[Ethics - Others Complete]],TRUE)&gt;0,TRUE,FALSE))</f>
        <v/>
      </c>
      <c r="FA13" s="6" t="str">
        <f>IF(COUNTA(Register[[#This Row],[Gov - PCH Complete]:[Gov - Others Complete]])=0,"",IF(COUNTIF(Register[[#This Row],[Gov - PCH Complete]:[Gov - Others Complete]],TRUE)&gt;0,TRUE,FALSE))</f>
        <v/>
      </c>
      <c r="FB13" s="6" t="str">
        <f>IF(COUNTA(Register[[#This Row],[Budget - VTG Complete]:[Budget - Pharmacy Complete]])=0,"",IF(COUNTIF(Register[[#This Row],[Budget - VTG Complete]:[Budget - Pharmacy Complete]],TRUE)=3,TRUE,FALSE))</f>
        <v/>
      </c>
      <c r="FC13" s="6" t="b">
        <f>IF(AND(Register[[#This Row],[Study Details Complete]]=TRUE,Register[[#This Row],[CDA Complete]]=TRUE,Register[[#This Row],[FS Complete]]=TRUE,Register[[#This Row],[Site Selection Complete]]=TRUE,Register[[#This Row],[Recruitment Complete]]=TRUE,Register[[#This Row],[Overall Ethics]]=TRUE,Register[[#This Row],[Overall Governance]]=TRUE,Register[[#This Row],[Budget - VTG Complete]]=TRUE,Register[[#This Row],[Budget - TKI Complete]]=TRUE,Register[[#This Row],[Budget - Pharmacy Complete]]=TRUE,Register[[#This Row],[Indemnity Complete]]=TRUE,Register[[#This Row],[CTRA Complete]]=TRUE,Register[[#This Row],[Fin Disc Complete]]=TRUE,Register[[#This Row],[SIV Complete]]=TRUE),TRUE,FALSE)</f>
        <v>0</v>
      </c>
      <c r="FD13" s="15">
        <f>IFERROR(MATCH(FALSE,Register[[#This Row],[Study Details Complete]:[SIV Complete]],0),1)</f>
        <v>1</v>
      </c>
    </row>
    <row r="14" spans="4:160" x14ac:dyDescent="0.25">
      <c r="D14" s="5">
        <v>44464.8440162037</v>
      </c>
      <c r="E14" s="6" t="s">
        <v>246</v>
      </c>
      <c r="F14" s="5"/>
      <c r="G14" s="6"/>
      <c r="H14" s="5">
        <v>44468.290439814817</v>
      </c>
      <c r="I14" s="6" t="s">
        <v>87</v>
      </c>
      <c r="J14" s="4" t="s">
        <v>283</v>
      </c>
      <c r="K14" s="4" t="s">
        <v>250</v>
      </c>
      <c r="L14" s="4" t="s">
        <v>247</v>
      </c>
      <c r="M14" s="4" t="s">
        <v>248</v>
      </c>
      <c r="N14" s="4" t="s">
        <v>251</v>
      </c>
      <c r="O14" s="42" t="s">
        <v>252</v>
      </c>
      <c r="P14" s="7"/>
      <c r="Q14" s="5">
        <v>44468.290439814817</v>
      </c>
      <c r="R14" s="6" t="s">
        <v>87</v>
      </c>
      <c r="S14" s="19">
        <v>43525</v>
      </c>
      <c r="T14" s="19">
        <v>43559</v>
      </c>
      <c r="U14" s="19">
        <v>43652</v>
      </c>
      <c r="V14" s="19">
        <v>43716</v>
      </c>
      <c r="W14" s="19">
        <v>43747</v>
      </c>
      <c r="X14" s="19"/>
      <c r="Y14" s="19">
        <v>44464.85328703704</v>
      </c>
      <c r="Z14" s="19" t="s">
        <v>246</v>
      </c>
      <c r="AA14" s="19">
        <v>43831</v>
      </c>
      <c r="AB14" s="19">
        <v>43863</v>
      </c>
      <c r="AC14" s="19" t="s">
        <v>249</v>
      </c>
      <c r="AD14" s="6"/>
      <c r="AE14" s="5">
        <v>44464.845289351855</v>
      </c>
      <c r="AF14" s="6" t="s">
        <v>246</v>
      </c>
      <c r="AG14" s="19">
        <v>43955</v>
      </c>
      <c r="AH14" s="4" t="s">
        <v>86</v>
      </c>
      <c r="AI14" s="19">
        <v>43972</v>
      </c>
      <c r="AJ14" s="4" t="s">
        <v>84</v>
      </c>
      <c r="AK14" s="19">
        <v>43988</v>
      </c>
      <c r="AL14" s="6"/>
      <c r="AM14" s="5">
        <v>44464.855138888888</v>
      </c>
      <c r="AN14" s="6" t="s">
        <v>246</v>
      </c>
      <c r="AO14" s="19">
        <v>43995</v>
      </c>
      <c r="AP14" s="6" t="s">
        <v>253</v>
      </c>
      <c r="AQ14" s="5">
        <v>44464.855162037034</v>
      </c>
      <c r="AR14" s="6" t="s">
        <v>246</v>
      </c>
      <c r="AS14" s="19"/>
      <c r="AT14" s="4"/>
      <c r="AU14" s="4"/>
      <c r="AV14" s="19"/>
      <c r="AW14" s="19"/>
      <c r="AX14" s="4"/>
      <c r="AY14" s="19"/>
      <c r="AZ14" s="19"/>
      <c r="BA14" s="19"/>
      <c r="BB14" s="19"/>
      <c r="BC14" s="19"/>
      <c r="BD14" s="19"/>
      <c r="BE14" s="4"/>
      <c r="BF14" s="4"/>
      <c r="BG14" s="4"/>
      <c r="BH14" s="4" t="s">
        <v>254</v>
      </c>
      <c r="BI14" s="19">
        <v>44002</v>
      </c>
      <c r="BJ14" s="19">
        <v>44007</v>
      </c>
      <c r="BK14" s="4"/>
      <c r="BL14" s="5">
        <v>44464.856006944443</v>
      </c>
      <c r="BM14" s="6" t="s">
        <v>246</v>
      </c>
      <c r="BN14" s="19"/>
      <c r="BO14" s="19"/>
      <c r="BP14" s="19"/>
      <c r="BQ14" s="19"/>
      <c r="BR14" s="4"/>
      <c r="BS14" s="4"/>
      <c r="BT14" s="19"/>
      <c r="BU14" s="19"/>
      <c r="BV14" s="4"/>
      <c r="BW14" s="4"/>
      <c r="BX14" s="4"/>
      <c r="BY14" s="4"/>
      <c r="BZ14" s="4"/>
      <c r="CA14" s="4"/>
      <c r="CB14" s="4"/>
      <c r="CC14" s="4"/>
      <c r="CD14" s="4"/>
      <c r="CE14" s="4"/>
      <c r="CF14" s="4"/>
      <c r="CG14" s="4"/>
      <c r="CH14" s="4"/>
      <c r="CI14" s="4"/>
      <c r="CJ14" s="4"/>
      <c r="CK14" s="4"/>
      <c r="CL14" s="4" t="s">
        <v>255</v>
      </c>
      <c r="CM14" s="19">
        <v>44013</v>
      </c>
      <c r="CN14" s="19">
        <v>44018</v>
      </c>
      <c r="CO14" s="19">
        <v>44022</v>
      </c>
      <c r="CP14" s="4"/>
      <c r="CQ14" s="5">
        <v>44464.856840277775</v>
      </c>
      <c r="CR14" s="6" t="s">
        <v>246</v>
      </c>
      <c r="CS14" s="19">
        <v>44025</v>
      </c>
      <c r="CT14" s="19">
        <v>44028</v>
      </c>
      <c r="CU14" s="19">
        <v>44032</v>
      </c>
      <c r="CV14" s="19"/>
      <c r="CW14" s="19">
        <v>44037</v>
      </c>
      <c r="CX14" s="19"/>
      <c r="CY14" s="19">
        <v>44043</v>
      </c>
      <c r="CZ14" s="19">
        <v>44047</v>
      </c>
      <c r="DA14" s="19"/>
      <c r="DB14" s="5">
        <v>44464.857905092591</v>
      </c>
      <c r="DC14" s="6" t="s">
        <v>246</v>
      </c>
      <c r="DD14" s="19">
        <v>44055</v>
      </c>
      <c r="DE14" s="19">
        <v>44058</v>
      </c>
      <c r="DF14" s="19">
        <v>44065</v>
      </c>
      <c r="DG14" s="6"/>
      <c r="DH14" s="5">
        <v>44464.85832175926</v>
      </c>
      <c r="DI14" s="6" t="s">
        <v>246</v>
      </c>
      <c r="DJ14" s="19">
        <v>44068</v>
      </c>
      <c r="DK14" s="19">
        <v>44070</v>
      </c>
      <c r="DL14" s="19">
        <v>44073</v>
      </c>
      <c r="DM14" s="19">
        <v>44075</v>
      </c>
      <c r="DN14" s="19">
        <v>44081</v>
      </c>
      <c r="DO14" s="19">
        <v>44083</v>
      </c>
      <c r="DP14" s="19">
        <v>44086</v>
      </c>
      <c r="DQ14" s="6"/>
      <c r="DR14" s="5">
        <v>44464.859189814815</v>
      </c>
      <c r="DS14" s="6" t="s">
        <v>246</v>
      </c>
      <c r="DT14" s="19">
        <v>44088</v>
      </c>
      <c r="DU14" s="6"/>
      <c r="DV14" s="5">
        <v>44464.859525462962</v>
      </c>
      <c r="DW14" s="6" t="s">
        <v>246</v>
      </c>
      <c r="DX14" s="19">
        <v>44094</v>
      </c>
      <c r="DY14" s="6"/>
      <c r="DZ14" s="5">
        <v>44464.8596875</v>
      </c>
      <c r="EA14" s="6" t="s">
        <v>246</v>
      </c>
      <c r="EB14" s="6" t="b">
        <v>1</v>
      </c>
      <c r="EC14" s="6" t="b">
        <v>1</v>
      </c>
      <c r="ED14" s="6" t="b">
        <v>1</v>
      </c>
      <c r="EE14" s="6" t="b">
        <v>1</v>
      </c>
      <c r="EF14" s="6" t="b">
        <v>1</v>
      </c>
      <c r="EG14" s="6"/>
      <c r="EH14" s="6"/>
      <c r="EI14" s="6"/>
      <c r="EJ14" s="6"/>
      <c r="EK14" s="6" t="b">
        <v>1</v>
      </c>
      <c r="EL14" s="6"/>
      <c r="EM14" s="6"/>
      <c r="EN14" s="6"/>
      <c r="EO14" s="6"/>
      <c r="EP14" s="6"/>
      <c r="EQ14" s="6"/>
      <c r="ER14" s="6" t="b">
        <v>1</v>
      </c>
      <c r="ES14" s="6" t="b">
        <v>1</v>
      </c>
      <c r="ET14" s="6" t="b">
        <v>1</v>
      </c>
      <c r="EU14" s="6" t="b">
        <v>1</v>
      </c>
      <c r="EV14" s="6" t="b">
        <v>1</v>
      </c>
      <c r="EW14" s="6" t="b">
        <v>1</v>
      </c>
      <c r="EX14" s="6" t="b">
        <v>1</v>
      </c>
      <c r="EY14" s="6" t="b">
        <v>1</v>
      </c>
      <c r="EZ14" s="15" t="b">
        <f>IF(COUNTA(Register[[#This Row],[Ethics - CAHS Complete]:[Ethics - Others Complete]])=0, "",IF(COUNTIF(Register[[#This Row],[Ethics - CAHS Complete]:[Ethics - Others Complete]],TRUE)&gt;0,TRUE,FALSE))</f>
        <v>1</v>
      </c>
      <c r="FA14" s="6" t="b">
        <f>IF(COUNTA(Register[[#This Row],[Gov - PCH Complete]:[Gov - Others Complete]])=0,"",IF(COUNTIF(Register[[#This Row],[Gov - PCH Complete]:[Gov - Others Complete]],TRUE)&gt;0,TRUE,FALSE))</f>
        <v>1</v>
      </c>
      <c r="FB14" s="6" t="b">
        <f>IF(COUNTA(Register[[#This Row],[Budget - VTG Complete]:[Budget - Pharmacy Complete]])=0,"",IF(COUNTIF(Register[[#This Row],[Budget - VTG Complete]:[Budget - Pharmacy Complete]],TRUE)=3,TRUE,FALSE))</f>
        <v>1</v>
      </c>
      <c r="FC14" s="6" t="b">
        <f>IF(AND(Register[[#This Row],[Study Details Complete]]=TRUE,Register[[#This Row],[CDA Complete]]=TRUE,Register[[#This Row],[FS Complete]]=TRUE,Register[[#This Row],[Site Selection Complete]]=TRUE,Register[[#This Row],[Recruitment Complete]]=TRUE,Register[[#This Row],[Overall Ethics]]=TRUE,Register[[#This Row],[Overall Governance]]=TRUE,Register[[#This Row],[Budget - VTG Complete]]=TRUE,Register[[#This Row],[Budget - TKI Complete]]=TRUE,Register[[#This Row],[Budget - Pharmacy Complete]]=TRUE,Register[[#This Row],[Indemnity Complete]]=TRUE,Register[[#This Row],[CTRA Complete]]=TRUE,Register[[#This Row],[Fin Disc Complete]]=TRUE,Register[[#This Row],[SIV Complete]]=TRUE),TRUE,FALSE)</f>
        <v>1</v>
      </c>
      <c r="FD14" s="15">
        <f>IFERROR(MATCH(FALSE,Register[[#This Row],[Study Details Complete]:[SIV Complete]],0),1)</f>
        <v>1</v>
      </c>
    </row>
    <row r="15" spans="4:160" x14ac:dyDescent="0.25">
      <c r="D15" s="5">
        <v>44466.823842592596</v>
      </c>
      <c r="E15" s="6" t="s">
        <v>87</v>
      </c>
      <c r="F15" s="5"/>
      <c r="G15" s="6"/>
      <c r="H15" s="5">
        <v>44468.903171296297</v>
      </c>
      <c r="I15" s="6" t="s">
        <v>87</v>
      </c>
      <c r="J15" s="4" t="s">
        <v>243</v>
      </c>
      <c r="K15" s="4">
        <v>110</v>
      </c>
      <c r="L15" s="4" t="s">
        <v>284</v>
      </c>
      <c r="M15" s="4" t="s">
        <v>285</v>
      </c>
      <c r="N15" s="4" t="s">
        <v>285</v>
      </c>
      <c r="O15" s="42" t="s">
        <v>298</v>
      </c>
      <c r="P15" s="7" t="s">
        <v>289</v>
      </c>
      <c r="Q15" s="5">
        <v>44468.90315972222</v>
      </c>
      <c r="R15" s="6" t="s">
        <v>87</v>
      </c>
      <c r="S15" s="19">
        <v>43830</v>
      </c>
      <c r="T15" s="19">
        <v>43832</v>
      </c>
      <c r="U15" s="19">
        <v>43833</v>
      </c>
      <c r="V15" s="19">
        <v>43834</v>
      </c>
      <c r="W15" s="19">
        <v>43835</v>
      </c>
      <c r="X15" s="19" t="s">
        <v>288</v>
      </c>
      <c r="Y15" s="19">
        <v>44468.84642361111</v>
      </c>
      <c r="Z15" s="19" t="s">
        <v>87</v>
      </c>
      <c r="AA15" s="19">
        <v>43862</v>
      </c>
      <c r="AB15" s="19">
        <v>43866</v>
      </c>
      <c r="AC15" s="19" t="s">
        <v>286</v>
      </c>
      <c r="AD15" s="6" t="s">
        <v>287</v>
      </c>
      <c r="AE15" s="5">
        <v>44468.832013888888</v>
      </c>
      <c r="AF15" s="6" t="s">
        <v>87</v>
      </c>
      <c r="AG15" s="19">
        <v>43891</v>
      </c>
      <c r="AH15" s="4" t="s">
        <v>86</v>
      </c>
      <c r="AI15" s="19">
        <v>43921</v>
      </c>
      <c r="AJ15" s="4" t="s">
        <v>84</v>
      </c>
      <c r="AK15" s="19">
        <v>43926</v>
      </c>
      <c r="AL15" s="6" t="s">
        <v>290</v>
      </c>
      <c r="AM15" s="5">
        <v>44468.832129629627</v>
      </c>
      <c r="AN15" s="6" t="s">
        <v>87</v>
      </c>
      <c r="AO15" s="19">
        <v>43831</v>
      </c>
      <c r="AP15" s="6" t="s">
        <v>291</v>
      </c>
      <c r="AQ15" s="5">
        <v>44468.832268518519</v>
      </c>
      <c r="AR15" s="6" t="s">
        <v>87</v>
      </c>
      <c r="AS15" s="19">
        <v>43922</v>
      </c>
      <c r="AT15" s="19">
        <v>43923</v>
      </c>
      <c r="AU15" s="19">
        <v>43925</v>
      </c>
      <c r="AV15" s="19">
        <v>43926</v>
      </c>
      <c r="AW15" s="19" t="s">
        <v>292</v>
      </c>
      <c r="AX15" s="4"/>
      <c r="AY15" s="19"/>
      <c r="AZ15" s="19"/>
      <c r="BA15" s="19"/>
      <c r="BB15" s="19"/>
      <c r="BC15" s="19"/>
      <c r="BD15" s="19"/>
      <c r="BE15" s="19"/>
      <c r="BF15" s="4"/>
      <c r="BG15" s="4"/>
      <c r="BH15" s="4" t="s">
        <v>297</v>
      </c>
      <c r="BI15" s="19">
        <v>43831</v>
      </c>
      <c r="BJ15" s="19" t="s">
        <v>108</v>
      </c>
      <c r="BK15" s="4" t="s">
        <v>293</v>
      </c>
      <c r="BL15" s="5">
        <v>44468.832754629628</v>
      </c>
      <c r="BM15" s="6" t="s">
        <v>87</v>
      </c>
      <c r="BN15" s="19">
        <v>43983</v>
      </c>
      <c r="BO15" s="19">
        <v>43987</v>
      </c>
      <c r="BP15" s="19">
        <v>43991</v>
      </c>
      <c r="BQ15" s="19" t="s">
        <v>294</v>
      </c>
      <c r="BR15" s="4"/>
      <c r="BS15" s="4"/>
      <c r="BT15" s="19"/>
      <c r="BU15" s="19"/>
      <c r="BV15" s="4"/>
      <c r="BW15" s="4"/>
      <c r="BX15" s="4"/>
      <c r="BY15" s="4"/>
      <c r="BZ15" s="4"/>
      <c r="CA15" s="4"/>
      <c r="CB15" s="4"/>
      <c r="CC15" s="4"/>
      <c r="CD15" s="19">
        <v>44013</v>
      </c>
      <c r="CE15" s="4"/>
      <c r="CF15" s="4"/>
      <c r="CG15" s="4" t="s">
        <v>295</v>
      </c>
      <c r="CH15" s="4"/>
      <c r="CI15" s="4"/>
      <c r="CJ15" s="4"/>
      <c r="CK15" s="4"/>
      <c r="CL15" s="4"/>
      <c r="CM15" s="19"/>
      <c r="CN15" s="19"/>
      <c r="CO15" s="19"/>
      <c r="CP15" s="4"/>
      <c r="CQ15" s="5">
        <v>44468.833252314813</v>
      </c>
      <c r="CR15" s="6" t="s">
        <v>87</v>
      </c>
      <c r="CS15" s="19">
        <v>44013</v>
      </c>
      <c r="CT15" s="19">
        <v>44013</v>
      </c>
      <c r="CU15" s="19">
        <v>44044</v>
      </c>
      <c r="CV15" s="19" t="s">
        <v>299</v>
      </c>
      <c r="CW15" s="19"/>
      <c r="CX15" s="19"/>
      <c r="CY15" s="19"/>
      <c r="CZ15" s="19"/>
      <c r="DA15" s="19"/>
      <c r="DB15" s="5">
        <v>44468.846932870372</v>
      </c>
      <c r="DC15" s="6" t="s">
        <v>87</v>
      </c>
      <c r="DD15" s="19"/>
      <c r="DE15" s="19"/>
      <c r="DF15" s="19"/>
      <c r="DG15" s="6"/>
      <c r="DH15" s="5">
        <v>44468.462372685186</v>
      </c>
      <c r="DI15" s="6" t="s">
        <v>87</v>
      </c>
      <c r="DJ15" s="19">
        <v>43831</v>
      </c>
      <c r="DK15" s="19">
        <v>43952</v>
      </c>
      <c r="DL15" s="19">
        <v>44075</v>
      </c>
      <c r="DM15" s="19">
        <v>11111</v>
      </c>
      <c r="DN15" s="19"/>
      <c r="DO15" s="19"/>
      <c r="DP15" s="19"/>
      <c r="DQ15" s="6"/>
      <c r="DR15" s="5">
        <v>44468.852233796293</v>
      </c>
      <c r="DS15" s="6" t="s">
        <v>87</v>
      </c>
      <c r="DT15" s="19"/>
      <c r="DU15" s="6"/>
      <c r="DV15" s="5">
        <v>44468.46234953704</v>
      </c>
      <c r="DW15" s="6" t="s">
        <v>87</v>
      </c>
      <c r="DX15" s="19">
        <v>44572</v>
      </c>
      <c r="DY15" s="6" t="s">
        <v>296</v>
      </c>
      <c r="DZ15" s="5">
        <v>44468.517268518517</v>
      </c>
      <c r="EA15" s="6" t="s">
        <v>87</v>
      </c>
      <c r="EB15" s="15" t="b">
        <v>1</v>
      </c>
      <c r="EC15" s="15" t="b">
        <v>1</v>
      </c>
      <c r="ED15" s="15" t="b">
        <v>1</v>
      </c>
      <c r="EE15" s="15" t="b">
        <v>1</v>
      </c>
      <c r="EF15" s="15" t="b">
        <v>1</v>
      </c>
      <c r="EG15" s="15" t="b">
        <v>1</v>
      </c>
      <c r="EH15" s="6"/>
      <c r="EI15" s="6"/>
      <c r="EJ15" s="6"/>
      <c r="EK15" s="6" t="b">
        <v>0</v>
      </c>
      <c r="EL15" s="6" t="b">
        <v>1</v>
      </c>
      <c r="EM15" s="6"/>
      <c r="EN15" s="6"/>
      <c r="EO15" s="6"/>
      <c r="EP15" s="6" t="b">
        <v>0</v>
      </c>
      <c r="EQ15" s="6"/>
      <c r="ER15" s="6"/>
      <c r="ES15" s="6" t="b">
        <v>1</v>
      </c>
      <c r="ET15" s="6"/>
      <c r="EU15" s="6"/>
      <c r="EV15" s="6"/>
      <c r="EW15" s="6" t="b">
        <v>0</v>
      </c>
      <c r="EX15" s="6"/>
      <c r="EY15" s="6" t="b">
        <v>1</v>
      </c>
      <c r="EZ15" s="15" t="b">
        <f>IF(COUNTA(Register[[#This Row],[Ethics - CAHS Complete]:[Ethics - Others Complete]])=0, "",IF(COUNTIF(Register[[#This Row],[Ethics - CAHS Complete]:[Ethics - Others Complete]],TRUE)&gt;0,TRUE,FALSE))</f>
        <v>1</v>
      </c>
      <c r="FA15" s="6" t="b">
        <f>IF(COUNTA(Register[[#This Row],[Gov - PCH Complete]:[Gov - Others Complete]])=0,"",IF(COUNTIF(Register[[#This Row],[Gov - PCH Complete]:[Gov - Others Complete]],TRUE)&gt;0,TRUE,FALSE))</f>
        <v>1</v>
      </c>
      <c r="FB15" s="6" t="b">
        <f>IF(COUNTA(Register[[#This Row],[Budget - VTG Complete]:[Budget - Pharmacy Complete]])=0,"",IF(COUNTIF(Register[[#This Row],[Budget - VTG Complete]:[Budget - Pharmacy Complete]],TRUE)=3,TRUE,FALSE))</f>
        <v>0</v>
      </c>
      <c r="FC15" s="6" t="b">
        <f>IF(AND(Register[[#This Row],[Study Details Complete]]=TRUE,Register[[#This Row],[CDA Complete]]=TRUE,Register[[#This Row],[FS Complete]]=TRUE,Register[[#This Row],[Site Selection Complete]]=TRUE,Register[[#This Row],[Recruitment Complete]]=TRUE,Register[[#This Row],[Overall Ethics]]=TRUE,Register[[#This Row],[Overall Governance]]=TRUE,Register[[#This Row],[Budget - VTG Complete]]=TRUE,Register[[#This Row],[Budget - TKI Complete]]=TRUE,Register[[#This Row],[Budget - Pharmacy Complete]]=TRUE,Register[[#This Row],[Indemnity Complete]]=TRUE,Register[[#This Row],[CTRA Complete]]=TRUE,Register[[#This Row],[Fin Disc Complete]]=TRUE,Register[[#This Row],[SIV Complete]]=TRUE),TRUE,FALSE)</f>
        <v>0</v>
      </c>
      <c r="FD15" s="15">
        <f>IFERROR(MATCH(FALSE,Register[[#This Row],[Study Details Complete]:[SIV Complete]],0),1)</f>
        <v>10</v>
      </c>
    </row>
    <row r="16" spans="4:160" x14ac:dyDescent="0.25">
      <c r="J16" s="9"/>
      <c r="K16" s="9"/>
      <c r="L16" s="9"/>
      <c r="M16" s="9"/>
      <c r="N16" s="9"/>
      <c r="O16" s="9"/>
      <c r="P16" s="9"/>
      <c r="Q16" s="9"/>
      <c r="R16" s="9"/>
      <c r="S16" s="9"/>
      <c r="T16" s="9"/>
      <c r="U16" s="9"/>
      <c r="V16" s="9"/>
      <c r="W16" s="9"/>
      <c r="X16" s="9"/>
      <c r="Y16" s="9"/>
      <c r="Z16" s="9"/>
      <c r="AA16" s="9"/>
      <c r="AB16" s="9"/>
      <c r="AC16" s="9"/>
      <c r="AD16" s="9"/>
      <c r="AE16" s="9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9"/>
      <c r="AQ16" s="9"/>
      <c r="AR16" s="9"/>
      <c r="AS16" s="9"/>
      <c r="AT16" s="9"/>
      <c r="AU16" s="9"/>
      <c r="AV16" s="9"/>
      <c r="AW16" s="9"/>
      <c r="AX16" s="9"/>
      <c r="AY16" s="9"/>
      <c r="AZ16" s="9"/>
      <c r="BA16" s="9"/>
      <c r="BB16" s="9"/>
      <c r="BC16" s="9"/>
      <c r="BD16" s="9"/>
      <c r="BE16" s="9"/>
      <c r="BF16" s="9"/>
      <c r="BG16" s="9"/>
      <c r="BH16" s="9"/>
      <c r="BI16" s="9"/>
      <c r="BJ16" s="9"/>
      <c r="BK16" s="9"/>
      <c r="BL16" s="9"/>
      <c r="BM16" s="9"/>
      <c r="BN16" s="9"/>
      <c r="BO16" s="9"/>
      <c r="BP16" s="9"/>
      <c r="BQ16" s="9"/>
      <c r="BR16" s="9"/>
      <c r="BS16" s="9"/>
      <c r="BT16" s="9"/>
      <c r="BU16" s="9"/>
      <c r="BV16" s="9"/>
      <c r="BW16" s="9"/>
      <c r="BX16" s="9"/>
      <c r="BY16" s="9"/>
      <c r="BZ16" s="9"/>
      <c r="CA16" s="9"/>
      <c r="CB16" s="9"/>
      <c r="CC16" s="9"/>
      <c r="CD16" s="9"/>
      <c r="CE16" s="9"/>
      <c r="CF16" s="9"/>
      <c r="CG16" s="9"/>
      <c r="CH16" s="9"/>
      <c r="CI16" s="9"/>
      <c r="CJ16" s="9"/>
      <c r="CK16" s="9"/>
      <c r="CL16" s="9"/>
      <c r="CM16" s="9"/>
      <c r="CN16" s="9"/>
      <c r="CO16" s="9"/>
      <c r="CP16" s="9"/>
      <c r="CQ16" s="9"/>
      <c r="CR16" s="9"/>
      <c r="CS16" s="9"/>
      <c r="CT16" s="9"/>
      <c r="CU16" s="9"/>
      <c r="CV16" s="9"/>
      <c r="CW16" s="9"/>
      <c r="CX16" s="9"/>
      <c r="CY16" s="9"/>
      <c r="CZ16" s="9"/>
      <c r="DA16" s="9"/>
      <c r="DB16" s="9"/>
      <c r="DC16" s="9"/>
      <c r="DD16" s="9"/>
      <c r="DE16" s="9"/>
      <c r="DF16" s="9"/>
      <c r="DG16" s="9"/>
      <c r="DH16" s="9"/>
      <c r="DI16" s="9"/>
      <c r="DJ16" s="9"/>
      <c r="DK16" s="9"/>
      <c r="DL16" s="9"/>
      <c r="DM16" s="9"/>
      <c r="DN16" s="9"/>
      <c r="DO16" s="9"/>
      <c r="DP16" s="9"/>
      <c r="DQ16" s="9"/>
      <c r="DR16" s="9"/>
      <c r="DS16" s="9"/>
      <c r="DT16" s="9"/>
      <c r="DU16" s="9"/>
      <c r="DV16" s="9"/>
      <c r="DW16" s="9"/>
      <c r="DX16" s="9"/>
      <c r="DY16" s="9"/>
      <c r="DZ16" s="9"/>
      <c r="EA16" s="9"/>
    </row>
    <row r="17" spans="10:132" x14ac:dyDescent="0.25">
      <c r="J17" s="18"/>
      <c r="K17" s="18"/>
      <c r="L17" s="9"/>
      <c r="M17" s="9"/>
      <c r="N17" s="9"/>
      <c r="O17" s="9"/>
      <c r="P17" s="9"/>
      <c r="Q17" s="9"/>
      <c r="R17" s="9"/>
      <c r="S17" s="9"/>
      <c r="T17" s="9"/>
      <c r="U17" s="9"/>
      <c r="V17" s="9"/>
      <c r="W17" s="9"/>
      <c r="X17" s="9"/>
      <c r="Y17" s="9"/>
      <c r="Z17" s="9"/>
      <c r="AA17" s="9"/>
      <c r="AB17" s="9"/>
      <c r="AC17" s="9"/>
      <c r="AD17" s="9"/>
      <c r="AE17" s="9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9"/>
      <c r="AQ17" s="9"/>
      <c r="AR17" s="9"/>
      <c r="AS17" s="9"/>
      <c r="AT17" s="9"/>
      <c r="AU17" s="9"/>
      <c r="AV17" s="9"/>
      <c r="AW17" s="9"/>
      <c r="AX17" s="9"/>
      <c r="AY17" s="9"/>
      <c r="AZ17" s="9"/>
      <c r="BA17" s="9"/>
      <c r="BB17" s="9"/>
      <c r="BC17" s="9"/>
      <c r="BD17" s="9"/>
      <c r="BE17" s="9"/>
      <c r="BF17" s="9"/>
      <c r="BG17" s="9"/>
      <c r="BH17" s="9"/>
      <c r="BI17" s="9"/>
      <c r="BJ17" s="9"/>
      <c r="BK17" s="9"/>
      <c r="BL17" s="9"/>
      <c r="BM17" s="9"/>
      <c r="BN17" s="9"/>
      <c r="BO17" s="9"/>
      <c r="BP17" s="9"/>
      <c r="BQ17" s="9"/>
      <c r="BR17" s="9"/>
      <c r="BS17" s="9"/>
      <c r="BT17" s="9"/>
      <c r="BU17" s="9"/>
      <c r="BV17" s="9"/>
      <c r="BW17" s="9"/>
      <c r="BX17" s="9"/>
      <c r="BY17" s="9"/>
      <c r="BZ17" s="9"/>
      <c r="CA17" s="9"/>
      <c r="CB17" s="9"/>
      <c r="CC17" s="9"/>
      <c r="CD17" s="9"/>
      <c r="CE17" s="9"/>
      <c r="CF17" s="9"/>
      <c r="CG17" s="9"/>
      <c r="CH17" s="9"/>
      <c r="CI17" s="9"/>
      <c r="CJ17" s="9"/>
      <c r="CK17" s="9"/>
      <c r="CL17" s="9"/>
      <c r="CM17" s="9"/>
      <c r="CN17" s="9"/>
      <c r="CO17" s="9"/>
      <c r="CP17" s="9"/>
      <c r="CQ17" s="9"/>
      <c r="CR17" s="9"/>
      <c r="CS17" s="9"/>
      <c r="CT17" s="9"/>
      <c r="CU17" s="9"/>
      <c r="CV17" s="9"/>
      <c r="CW17" s="9"/>
      <c r="CX17" s="9"/>
      <c r="CY17" s="9"/>
      <c r="CZ17" s="9"/>
      <c r="DA17" s="9"/>
      <c r="DB17" s="9"/>
      <c r="DC17" s="9"/>
      <c r="DD17" s="9"/>
      <c r="DE17" s="9"/>
      <c r="DF17" s="9"/>
      <c r="DG17" s="9"/>
      <c r="DH17" s="9"/>
      <c r="DI17" s="9"/>
      <c r="DJ17" s="9"/>
      <c r="DK17" s="9"/>
      <c r="DL17" s="9"/>
      <c r="DM17" s="9"/>
      <c r="DN17" s="9"/>
      <c r="DO17" s="9"/>
      <c r="DP17" s="9"/>
      <c r="DQ17" s="9"/>
      <c r="DR17" s="9"/>
      <c r="DS17" s="9"/>
      <c r="DT17" s="9"/>
      <c r="DU17" s="9"/>
      <c r="DV17" s="9"/>
      <c r="DW17" s="9"/>
      <c r="DX17" s="9"/>
      <c r="DY17" s="9"/>
      <c r="DZ17" s="9"/>
      <c r="EA17" s="9"/>
    </row>
    <row r="18" spans="10:132" x14ac:dyDescent="0.25">
      <c r="J18" s="18"/>
      <c r="K18" s="18"/>
      <c r="L18" s="9"/>
      <c r="M18" s="9"/>
      <c r="N18" s="9"/>
      <c r="O18" s="9"/>
      <c r="P18" s="9"/>
      <c r="Q18" s="9"/>
      <c r="R18" s="9"/>
      <c r="S18" s="9"/>
      <c r="T18" s="9"/>
      <c r="U18" s="9"/>
      <c r="V18" s="9"/>
      <c r="W18" s="9"/>
      <c r="X18" s="9"/>
      <c r="Y18" s="9"/>
      <c r="Z18" s="9"/>
      <c r="AA18" s="45"/>
      <c r="AB18" s="9"/>
      <c r="AC18" s="9"/>
      <c r="AD18" s="9"/>
      <c r="AE18" s="9"/>
      <c r="AF18" s="9"/>
      <c r="AG18" s="9"/>
      <c r="AH18" s="9"/>
      <c r="AI18" s="9"/>
      <c r="AJ18" s="9"/>
      <c r="AK18" s="9"/>
      <c r="AL18" s="9"/>
      <c r="AM18" s="9"/>
      <c r="AN18" s="9"/>
      <c r="AO18" s="9"/>
      <c r="AP18" s="9"/>
      <c r="AQ18" s="9"/>
      <c r="AR18" s="9"/>
      <c r="AS18" s="9"/>
      <c r="AT18" s="9"/>
      <c r="AU18" s="9"/>
      <c r="AV18" s="9"/>
      <c r="AW18" s="9"/>
      <c r="AX18" s="9"/>
      <c r="AY18" s="9"/>
      <c r="AZ18" s="9"/>
      <c r="BA18" s="9"/>
      <c r="BB18" s="9"/>
      <c r="BC18" s="9"/>
      <c r="BD18" s="9"/>
      <c r="BE18" s="9"/>
      <c r="BF18" s="9"/>
      <c r="BG18" s="9"/>
      <c r="BH18" s="9"/>
      <c r="BI18" s="9"/>
      <c r="BJ18" s="9"/>
      <c r="BK18" s="9"/>
      <c r="BL18" s="9"/>
      <c r="BM18" s="9"/>
      <c r="BN18" s="9"/>
      <c r="BO18" s="9"/>
      <c r="BP18" s="9"/>
      <c r="BQ18" s="9"/>
      <c r="BR18" s="9"/>
      <c r="BS18" s="9"/>
      <c r="BT18" s="9"/>
      <c r="BU18" s="9"/>
      <c r="BV18" s="9"/>
      <c r="BW18" s="9"/>
      <c r="BX18" s="9"/>
      <c r="BY18" s="9"/>
      <c r="BZ18" s="9"/>
      <c r="CA18" s="9"/>
      <c r="CB18" s="9"/>
      <c r="CC18" s="9"/>
      <c r="CD18" s="9"/>
      <c r="CE18" s="9"/>
      <c r="CF18" s="9"/>
      <c r="CG18" s="9"/>
      <c r="CH18" s="9"/>
      <c r="CI18" s="9"/>
      <c r="CJ18" s="9"/>
      <c r="CK18" s="9"/>
      <c r="CL18" s="9"/>
      <c r="CM18" s="9"/>
      <c r="CN18" s="9"/>
      <c r="CO18" s="9"/>
      <c r="CP18" s="9"/>
      <c r="CQ18" s="9"/>
      <c r="CR18" s="9"/>
      <c r="CS18" s="9"/>
      <c r="CT18" s="9"/>
      <c r="CU18" s="9"/>
      <c r="CV18" s="9"/>
      <c r="CW18" s="9"/>
      <c r="CX18" s="9"/>
      <c r="CY18" s="9"/>
      <c r="CZ18" s="9"/>
      <c r="DA18" s="9"/>
      <c r="DB18" s="9"/>
      <c r="DC18" s="9"/>
      <c r="DD18" s="9"/>
      <c r="DE18" s="9"/>
      <c r="DF18" s="9"/>
      <c r="DG18" s="9"/>
      <c r="DH18" s="9"/>
      <c r="DI18" s="9"/>
      <c r="DJ18" s="9"/>
      <c r="DK18" s="9"/>
      <c r="DL18" s="9"/>
      <c r="DM18" s="9"/>
      <c r="DN18" s="9"/>
      <c r="DO18" s="9"/>
      <c r="DP18" s="9"/>
      <c r="DQ18" s="9"/>
      <c r="DR18" s="9"/>
      <c r="DS18" s="9"/>
      <c r="DT18" s="9"/>
      <c r="DU18" s="9"/>
      <c r="DV18" s="9"/>
      <c r="DW18" s="9"/>
      <c r="DX18" s="9"/>
      <c r="DY18" s="9"/>
      <c r="DZ18" s="9"/>
      <c r="EA18" s="9"/>
    </row>
    <row r="19" spans="10:132" x14ac:dyDescent="0.25">
      <c r="J19" s="17"/>
      <c r="K19" s="17"/>
    </row>
    <row r="20" spans="10:132" x14ac:dyDescent="0.25">
      <c r="J20" s="17"/>
      <c r="K20" s="17"/>
      <c r="M20" s="43"/>
    </row>
    <row r="21" spans="10:132" x14ac:dyDescent="0.25">
      <c r="EB21" s="44"/>
    </row>
  </sheetData>
  <dataConsolidate/>
  <mergeCells count="16">
    <mergeCell ref="DH4:DI4"/>
    <mergeCell ref="DR4:DS4"/>
    <mergeCell ref="DV4:DW4"/>
    <mergeCell ref="DZ4:EA4"/>
    <mergeCell ref="D4:E4"/>
    <mergeCell ref="AE4:AF4"/>
    <mergeCell ref="AM4:AN4"/>
    <mergeCell ref="AQ4:AR4"/>
    <mergeCell ref="DB4:DC4"/>
    <mergeCell ref="BL4:BM4"/>
    <mergeCell ref="CQ4:CR4"/>
    <mergeCell ref="H4:I4"/>
    <mergeCell ref="F4:G4"/>
    <mergeCell ref="Q4:R4"/>
    <mergeCell ref="K4:O4"/>
    <mergeCell ref="Y4:Z4"/>
  </mergeCells>
  <phoneticPr fontId="3" type="noConversion"/>
  <pageMargins left="0.7" right="0.7" top="0.75" bottom="0.75" header="0.3" footer="0.3"/>
  <pageSetup paperSize="9" orientation="portrait" verticalDpi="0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56AC9D-7704-49A5-9205-9A7479E6BB27}">
  <sheetPr codeName="Sheet3"/>
  <dimension ref="A1:AJ17"/>
  <sheetViews>
    <sheetView workbookViewId="0">
      <pane xSplit="3" ySplit="8" topLeftCell="D9" activePane="bottomRight" state="frozen"/>
      <selection pane="topRight" activeCell="D1" sqref="D1"/>
      <selection pane="bottomLeft" activeCell="A9" sqref="A9"/>
      <selection pane="bottomRight" activeCell="C14" sqref="C14"/>
    </sheetView>
  </sheetViews>
  <sheetFormatPr defaultRowHeight="15" x14ac:dyDescent="0.25"/>
  <cols>
    <col min="1" max="1" width="20.7109375" customWidth="1"/>
    <col min="2" max="2" width="18.7109375" customWidth="1"/>
    <col min="3" max="3" width="40.7109375" customWidth="1"/>
    <col min="4" max="4" width="20.7109375" customWidth="1"/>
    <col min="5" max="7" width="18.7109375" customWidth="1"/>
    <col min="8" max="9" width="32.7109375" customWidth="1"/>
    <col min="10" max="27" width="32.7109375" style="1" customWidth="1"/>
    <col min="28" max="28" width="32.7109375" customWidth="1"/>
    <col min="29" max="36" width="32.7109375" style="1" customWidth="1"/>
  </cols>
  <sheetData>
    <row r="1" spans="1:36" ht="18.75" x14ac:dyDescent="0.3">
      <c r="A1" s="46" t="s">
        <v>147</v>
      </c>
      <c r="C1" s="47" t="s">
        <v>328</v>
      </c>
      <c r="D1" s="20"/>
      <c r="I1" s="1"/>
      <c r="AB1" s="1"/>
      <c r="AI1"/>
      <c r="AJ1"/>
    </row>
    <row r="2" spans="1:36" x14ac:dyDescent="0.25">
      <c r="I2" s="1"/>
      <c r="AB2" s="1"/>
      <c r="AI2"/>
      <c r="AJ2"/>
    </row>
    <row r="3" spans="1:36" x14ac:dyDescent="0.25">
      <c r="A3" t="s">
        <v>274</v>
      </c>
      <c r="B3" s="21"/>
      <c r="I3" s="1"/>
      <c r="AB3" s="1"/>
      <c r="AI3"/>
      <c r="AJ3"/>
    </row>
    <row r="4" spans="1:36" x14ac:dyDescent="0.25">
      <c r="A4" t="s">
        <v>275</v>
      </c>
      <c r="B4" s="22"/>
      <c r="I4" s="1"/>
      <c r="AB4" s="1"/>
      <c r="AI4"/>
      <c r="AJ4"/>
    </row>
    <row r="5" spans="1:36" x14ac:dyDescent="0.25">
      <c r="D5" s="24"/>
      <c r="I5" s="1"/>
      <c r="AB5" s="1"/>
      <c r="AI5"/>
      <c r="AJ5"/>
    </row>
    <row r="6" spans="1:36" x14ac:dyDescent="0.25">
      <c r="A6">
        <v>1</v>
      </c>
      <c r="B6">
        <v>2</v>
      </c>
      <c r="C6">
        <v>4</v>
      </c>
      <c r="D6">
        <v>3</v>
      </c>
      <c r="E6">
        <v>5</v>
      </c>
      <c r="F6">
        <v>6</v>
      </c>
      <c r="G6">
        <v>7</v>
      </c>
      <c r="H6">
        <v>8</v>
      </c>
      <c r="I6">
        <v>9</v>
      </c>
      <c r="J6">
        <v>10</v>
      </c>
      <c r="K6">
        <v>11</v>
      </c>
      <c r="L6">
        <v>12</v>
      </c>
      <c r="M6">
        <v>13</v>
      </c>
      <c r="N6">
        <v>14</v>
      </c>
      <c r="O6">
        <v>15</v>
      </c>
      <c r="P6">
        <v>16</v>
      </c>
      <c r="Q6">
        <v>17</v>
      </c>
      <c r="R6">
        <v>18</v>
      </c>
      <c r="S6">
        <v>19</v>
      </c>
      <c r="T6">
        <v>20</v>
      </c>
      <c r="U6">
        <v>21</v>
      </c>
      <c r="V6">
        <v>22</v>
      </c>
      <c r="W6">
        <v>23</v>
      </c>
      <c r="X6">
        <v>24</v>
      </c>
      <c r="Y6">
        <v>25</v>
      </c>
      <c r="Z6">
        <v>26</v>
      </c>
      <c r="AA6">
        <v>27</v>
      </c>
      <c r="AB6">
        <v>28</v>
      </c>
      <c r="AC6">
        <v>29</v>
      </c>
      <c r="AD6">
        <v>30</v>
      </c>
      <c r="AE6">
        <v>31</v>
      </c>
      <c r="AF6">
        <v>32</v>
      </c>
      <c r="AG6">
        <v>33</v>
      </c>
      <c r="AH6">
        <v>34</v>
      </c>
      <c r="AI6"/>
      <c r="AJ6"/>
    </row>
    <row r="7" spans="1:36" ht="15" customHeight="1" x14ac:dyDescent="0.25">
      <c r="B7" s="23"/>
      <c r="D7" s="23"/>
      <c r="I7" s="1"/>
      <c r="AB7" s="1"/>
      <c r="AI7"/>
      <c r="AJ7"/>
    </row>
    <row r="8" spans="1:36" x14ac:dyDescent="0.25">
      <c r="A8" s="28" t="s">
        <v>2</v>
      </c>
      <c r="B8" s="30" t="s">
        <v>158</v>
      </c>
      <c r="C8" s="28" t="s">
        <v>0</v>
      </c>
      <c r="D8" s="31" t="s">
        <v>175</v>
      </c>
      <c r="E8" s="28" t="s">
        <v>149</v>
      </c>
      <c r="F8" s="28" t="s">
        <v>148</v>
      </c>
      <c r="G8" s="32" t="s">
        <v>112</v>
      </c>
      <c r="H8" s="28" t="s">
        <v>264</v>
      </c>
      <c r="I8" s="28" t="s">
        <v>150</v>
      </c>
      <c r="J8" s="28" t="s">
        <v>151</v>
      </c>
      <c r="K8" s="28" t="s">
        <v>152</v>
      </c>
      <c r="L8" s="29" t="s">
        <v>153</v>
      </c>
      <c r="M8" s="28" t="s">
        <v>174</v>
      </c>
      <c r="N8" s="28" t="s">
        <v>159</v>
      </c>
      <c r="O8" s="28" t="s">
        <v>160</v>
      </c>
      <c r="P8" s="28" t="s">
        <v>161</v>
      </c>
      <c r="Q8" s="28" t="s">
        <v>162</v>
      </c>
      <c r="R8" s="28" t="s">
        <v>163</v>
      </c>
      <c r="S8" s="28" t="s">
        <v>258</v>
      </c>
      <c r="T8" s="28" t="s">
        <v>164</v>
      </c>
      <c r="U8" s="28" t="s">
        <v>165</v>
      </c>
      <c r="V8" s="28" t="s">
        <v>166</v>
      </c>
      <c r="W8" s="28" t="s">
        <v>167</v>
      </c>
      <c r="X8" s="28" t="s">
        <v>168</v>
      </c>
      <c r="Y8" s="28" t="s">
        <v>169</v>
      </c>
      <c r="Z8" s="28" t="s">
        <v>170</v>
      </c>
      <c r="AA8" s="28" t="s">
        <v>259</v>
      </c>
      <c r="AB8" s="28" t="s">
        <v>171</v>
      </c>
      <c r="AC8" s="28" t="s">
        <v>172</v>
      </c>
      <c r="AD8" s="28" t="s">
        <v>173</v>
      </c>
      <c r="AE8" s="28" t="s">
        <v>154</v>
      </c>
      <c r="AF8" s="28" t="s">
        <v>155</v>
      </c>
      <c r="AG8" s="28" t="s">
        <v>156</v>
      </c>
      <c r="AH8" s="28" t="s">
        <v>157</v>
      </c>
      <c r="AI8"/>
      <c r="AJ8"/>
    </row>
    <row r="9" spans="1:36" s="38" customFormat="1" x14ac:dyDescent="0.25">
      <c r="A9" s="35" t="s">
        <v>243</v>
      </c>
      <c r="B9" s="36">
        <v>44452</v>
      </c>
      <c r="C9" s="26" t="s">
        <v>88</v>
      </c>
      <c r="D9" s="37">
        <v>44468.902777777781</v>
      </c>
      <c r="E9" s="33" t="s">
        <v>91</v>
      </c>
      <c r="F9" s="33" t="s">
        <v>89</v>
      </c>
      <c r="G9" s="33" t="s">
        <v>90</v>
      </c>
      <c r="H9" s="26" t="s">
        <v>92</v>
      </c>
      <c r="I9" s="26"/>
      <c r="J9" s="26"/>
      <c r="K9" s="26"/>
      <c r="L9" s="27"/>
      <c r="M9" s="26"/>
      <c r="N9" s="26"/>
      <c r="O9" s="26"/>
      <c r="P9" s="26"/>
      <c r="Q9" s="26"/>
      <c r="R9" s="26"/>
      <c r="S9" s="26"/>
      <c r="T9" s="26"/>
      <c r="U9" s="26"/>
      <c r="V9" s="26"/>
      <c r="W9" s="26"/>
      <c r="X9" s="26"/>
      <c r="Y9" s="26"/>
      <c r="Z9" s="26"/>
      <c r="AA9" s="26"/>
      <c r="AB9" s="26"/>
      <c r="AC9" s="26"/>
      <c r="AD9" s="26"/>
      <c r="AE9" s="26"/>
      <c r="AF9" s="26"/>
      <c r="AG9" s="26"/>
      <c r="AH9" s="26"/>
    </row>
    <row r="10" spans="1:36" s="38" customFormat="1" ht="75" x14ac:dyDescent="0.25">
      <c r="A10" s="35" t="s">
        <v>243</v>
      </c>
      <c r="B10" s="36">
        <v>44452</v>
      </c>
      <c r="C10" s="26" t="s">
        <v>95</v>
      </c>
      <c r="D10" s="37">
        <v>44468.902777777781</v>
      </c>
      <c r="E10" s="33" t="s">
        <v>94</v>
      </c>
      <c r="F10" s="33" t="s">
        <v>96</v>
      </c>
      <c r="G10" s="33" t="s">
        <v>97</v>
      </c>
      <c r="H10" s="35" t="s">
        <v>263</v>
      </c>
      <c r="I10" s="26"/>
      <c r="J10" s="26"/>
      <c r="K10" s="26"/>
      <c r="L10" s="27"/>
      <c r="M10" s="26"/>
      <c r="N10" s="26"/>
      <c r="O10" s="26"/>
      <c r="P10" s="26"/>
      <c r="Q10" s="26"/>
      <c r="R10" s="26"/>
      <c r="S10" s="26"/>
      <c r="T10" s="26"/>
      <c r="U10" s="26"/>
      <c r="V10" s="26"/>
      <c r="W10" s="26"/>
      <c r="X10" s="26"/>
      <c r="Y10" s="26"/>
      <c r="Z10" s="26"/>
      <c r="AA10" s="26"/>
      <c r="AB10" s="26"/>
      <c r="AC10" s="26"/>
      <c r="AD10" s="26"/>
      <c r="AE10" s="26"/>
      <c r="AF10" s="26"/>
      <c r="AG10" s="26"/>
      <c r="AH10" s="26"/>
    </row>
    <row r="11" spans="1:36" s="39" customFormat="1" x14ac:dyDescent="0.25">
      <c r="A11" s="35" t="s">
        <v>243</v>
      </c>
      <c r="B11" s="36">
        <v>44452</v>
      </c>
      <c r="C11" s="26" t="s">
        <v>103</v>
      </c>
      <c r="D11" s="37">
        <v>44468.902777777781</v>
      </c>
      <c r="E11" s="33" t="s">
        <v>102</v>
      </c>
      <c r="F11" s="33" t="s">
        <v>85</v>
      </c>
      <c r="G11" s="33" t="s">
        <v>101</v>
      </c>
      <c r="H11" s="27" t="s">
        <v>104</v>
      </c>
      <c r="I11" s="26"/>
      <c r="J11" s="26"/>
      <c r="K11" s="26"/>
      <c r="L11" s="27"/>
      <c r="M11" s="26"/>
      <c r="N11" s="26"/>
      <c r="O11" s="26"/>
      <c r="P11" s="26"/>
      <c r="Q11" s="26"/>
      <c r="R11" s="26"/>
      <c r="S11" s="26"/>
      <c r="T11" s="26"/>
      <c r="U11" s="26"/>
      <c r="V11" s="26"/>
      <c r="W11" s="26"/>
      <c r="X11" s="26"/>
      <c r="Y11" s="26"/>
      <c r="Z11" s="26"/>
      <c r="AA11" s="26"/>
      <c r="AB11" s="26"/>
      <c r="AC11" s="26"/>
      <c r="AD11" s="26"/>
      <c r="AE11" s="26"/>
      <c r="AF11" s="26"/>
      <c r="AG11" s="26"/>
      <c r="AH11" s="26"/>
    </row>
    <row r="12" spans="1:36" s="25" customFormat="1" x14ac:dyDescent="0.25">
      <c r="A12" s="35" t="s">
        <v>243</v>
      </c>
      <c r="B12" s="36">
        <v>44452</v>
      </c>
      <c r="C12" s="26" t="s">
        <v>106</v>
      </c>
      <c r="D12" s="37">
        <v>44468.902777777781</v>
      </c>
      <c r="E12" s="33" t="s">
        <v>105</v>
      </c>
      <c r="F12" s="33" t="s">
        <v>85</v>
      </c>
      <c r="G12" s="35"/>
      <c r="H12" s="35"/>
      <c r="I12" s="26"/>
      <c r="J12" s="26"/>
      <c r="K12" s="26"/>
      <c r="L12" s="27"/>
      <c r="M12" s="26"/>
      <c r="N12" s="26"/>
      <c r="O12" s="26"/>
      <c r="P12" s="26"/>
      <c r="Q12" s="26"/>
      <c r="R12" s="26"/>
      <c r="S12" s="26"/>
      <c r="T12" s="26"/>
      <c r="U12" s="26"/>
      <c r="V12" s="26"/>
      <c r="W12" s="26"/>
      <c r="X12" s="26"/>
      <c r="Y12" s="26"/>
      <c r="Z12" s="26"/>
      <c r="AA12" s="26"/>
      <c r="AB12" s="26"/>
      <c r="AC12" s="26"/>
      <c r="AD12" s="26"/>
      <c r="AE12" s="26"/>
      <c r="AF12" s="26"/>
      <c r="AG12" s="26"/>
      <c r="AH12" s="26"/>
    </row>
    <row r="13" spans="1:36" s="25" customFormat="1" x14ac:dyDescent="0.25">
      <c r="A13" s="35" t="s">
        <v>243</v>
      </c>
      <c r="B13" s="36">
        <v>44452</v>
      </c>
      <c r="C13" s="26" t="s">
        <v>107</v>
      </c>
      <c r="D13" s="37">
        <v>44468.902777777781</v>
      </c>
      <c r="E13" s="33" t="s">
        <v>105</v>
      </c>
      <c r="F13" s="33" t="s">
        <v>81</v>
      </c>
      <c r="G13" s="35"/>
      <c r="H13" s="35"/>
      <c r="I13" s="26"/>
      <c r="J13" s="26"/>
      <c r="K13" s="26"/>
      <c r="L13" s="27"/>
      <c r="M13" s="26"/>
      <c r="N13" s="26"/>
      <c r="O13" s="26"/>
      <c r="P13" s="26"/>
      <c r="Q13" s="26"/>
      <c r="R13" s="26"/>
      <c r="S13" s="26"/>
      <c r="T13" s="26"/>
      <c r="U13" s="26"/>
      <c r="V13" s="26"/>
      <c r="W13" s="26"/>
      <c r="X13" s="26"/>
      <c r="Y13" s="26"/>
      <c r="Z13" s="26"/>
      <c r="AA13" s="26"/>
      <c r="AB13" s="26"/>
      <c r="AC13" s="26"/>
      <c r="AD13" s="26"/>
      <c r="AE13" s="26"/>
      <c r="AF13" s="26"/>
      <c r="AG13" s="26"/>
      <c r="AH13" s="26"/>
    </row>
    <row r="14" spans="1:36" s="25" customFormat="1" ht="120" x14ac:dyDescent="0.25">
      <c r="A14" s="34" t="s">
        <v>243</v>
      </c>
      <c r="B14" s="36">
        <v>44452</v>
      </c>
      <c r="C14" s="26" t="s">
        <v>111</v>
      </c>
      <c r="D14" s="37">
        <v>44468.902777777781</v>
      </c>
      <c r="E14" s="33" t="s">
        <v>110</v>
      </c>
      <c r="F14" s="33" t="s">
        <v>82</v>
      </c>
      <c r="G14" s="40" t="s">
        <v>112</v>
      </c>
      <c r="H14" s="27" t="s">
        <v>113</v>
      </c>
      <c r="I14" s="34" t="s">
        <v>178</v>
      </c>
      <c r="J14" s="34" t="s">
        <v>176</v>
      </c>
      <c r="K14" s="34" t="s">
        <v>177</v>
      </c>
      <c r="L14" s="34" t="s">
        <v>256</v>
      </c>
      <c r="M14" s="34" t="s">
        <v>257</v>
      </c>
      <c r="N14" s="34" t="s">
        <v>276</v>
      </c>
      <c r="O14" s="34" t="s">
        <v>261</v>
      </c>
      <c r="P14" s="34" t="s">
        <v>262</v>
      </c>
      <c r="Q14" s="26"/>
      <c r="R14" s="26"/>
      <c r="S14" s="34" t="s">
        <v>260</v>
      </c>
      <c r="T14" s="34" t="s">
        <v>265</v>
      </c>
      <c r="U14" s="34" t="s">
        <v>277</v>
      </c>
      <c r="V14" s="26"/>
      <c r="W14" s="26"/>
      <c r="X14" s="26"/>
      <c r="Y14" s="26"/>
      <c r="Z14" s="26"/>
      <c r="AA14" s="34" t="s">
        <v>269</v>
      </c>
      <c r="AB14" s="34" t="s">
        <v>278</v>
      </c>
      <c r="AC14" s="34" t="s">
        <v>266</v>
      </c>
      <c r="AD14" s="34" t="s">
        <v>267</v>
      </c>
      <c r="AE14" s="34" t="s">
        <v>300</v>
      </c>
      <c r="AF14" s="34" t="s">
        <v>279</v>
      </c>
      <c r="AG14" s="34" t="s">
        <v>280</v>
      </c>
      <c r="AH14" s="34" t="s">
        <v>281</v>
      </c>
    </row>
    <row r="15" spans="1:36" x14ac:dyDescent="0.25">
      <c r="A15" s="35" t="s">
        <v>243</v>
      </c>
      <c r="B15" s="36">
        <v>44463</v>
      </c>
      <c r="C15" s="26" t="s">
        <v>179</v>
      </c>
      <c r="D15" s="37">
        <v>44468.902777777781</v>
      </c>
      <c r="E15" s="35"/>
      <c r="F15" s="35"/>
      <c r="G15" s="35"/>
      <c r="H15" s="35"/>
      <c r="I15" s="27"/>
      <c r="J15" s="27"/>
      <c r="K15" s="27"/>
      <c r="L15" s="27"/>
      <c r="M15" s="27"/>
      <c r="N15" s="27"/>
      <c r="O15" s="27"/>
      <c r="P15" s="27"/>
      <c r="Q15" s="26"/>
      <c r="R15" s="26"/>
      <c r="S15" s="27"/>
      <c r="T15" s="27"/>
      <c r="U15" s="27"/>
      <c r="V15" s="26"/>
      <c r="W15" s="26"/>
      <c r="X15" s="26"/>
      <c r="Y15" s="26"/>
      <c r="Z15" s="26"/>
      <c r="AA15" s="27"/>
      <c r="AB15" s="27"/>
      <c r="AC15" s="27"/>
      <c r="AD15" s="27"/>
      <c r="AE15" s="27"/>
      <c r="AF15" s="27"/>
      <c r="AG15" s="27"/>
      <c r="AH15" s="34" t="s">
        <v>282</v>
      </c>
      <c r="AI15"/>
      <c r="AJ15"/>
    </row>
    <row r="16" spans="1:36" ht="105" x14ac:dyDescent="0.25">
      <c r="A16" s="34" t="s">
        <v>283</v>
      </c>
      <c r="B16" s="36">
        <v>44464</v>
      </c>
      <c r="C16" s="26" t="s">
        <v>247</v>
      </c>
      <c r="D16" s="37">
        <v>44468.290277777778</v>
      </c>
      <c r="E16" s="40" t="s">
        <v>250</v>
      </c>
      <c r="F16" s="40" t="s">
        <v>248</v>
      </c>
      <c r="G16" s="40" t="s">
        <v>251</v>
      </c>
      <c r="H16" s="27" t="s">
        <v>252</v>
      </c>
      <c r="I16" s="34" t="s">
        <v>301</v>
      </c>
      <c r="J16" s="34" t="s">
        <v>302</v>
      </c>
      <c r="K16" s="34" t="s">
        <v>303</v>
      </c>
      <c r="L16" s="34" t="s">
        <v>304</v>
      </c>
      <c r="M16" s="34" t="s">
        <v>305</v>
      </c>
      <c r="N16" s="27"/>
      <c r="O16" s="27"/>
      <c r="P16" s="27"/>
      <c r="Q16" s="26"/>
      <c r="R16" s="34" t="s">
        <v>306</v>
      </c>
      <c r="S16" s="34" t="s">
        <v>305</v>
      </c>
      <c r="T16" s="27"/>
      <c r="U16" s="27"/>
      <c r="V16" s="26"/>
      <c r="W16" s="26"/>
      <c r="X16" s="26"/>
      <c r="Y16" s="26"/>
      <c r="Z16" s="34" t="s">
        <v>307</v>
      </c>
      <c r="AA16" s="34" t="s">
        <v>269</v>
      </c>
      <c r="AB16" s="34" t="s">
        <v>308</v>
      </c>
      <c r="AC16" s="34" t="s">
        <v>309</v>
      </c>
      <c r="AD16" s="34" t="s">
        <v>310</v>
      </c>
      <c r="AE16" s="34" t="s">
        <v>311</v>
      </c>
      <c r="AF16" s="34" t="s">
        <v>312</v>
      </c>
      <c r="AG16" s="34" t="s">
        <v>313</v>
      </c>
      <c r="AH16" s="34" t="s">
        <v>314</v>
      </c>
      <c r="AI16"/>
      <c r="AJ16"/>
    </row>
    <row r="17" spans="1:36" ht="105" x14ac:dyDescent="0.25">
      <c r="A17" s="35" t="s">
        <v>243</v>
      </c>
      <c r="B17" s="36">
        <v>44466</v>
      </c>
      <c r="C17" s="26" t="s">
        <v>284</v>
      </c>
      <c r="D17" s="37">
        <v>44468.902777777781</v>
      </c>
      <c r="E17" s="40">
        <v>110</v>
      </c>
      <c r="F17" s="40" t="s">
        <v>285</v>
      </c>
      <c r="G17" s="40" t="s">
        <v>285</v>
      </c>
      <c r="H17" s="27" t="s">
        <v>298</v>
      </c>
      <c r="I17" s="34" t="s">
        <v>315</v>
      </c>
      <c r="J17" s="34" t="s">
        <v>316</v>
      </c>
      <c r="K17" s="34" t="s">
        <v>317</v>
      </c>
      <c r="L17" s="34" t="s">
        <v>318</v>
      </c>
      <c r="M17" s="34" t="s">
        <v>319</v>
      </c>
      <c r="N17" s="34" t="s">
        <v>320</v>
      </c>
      <c r="O17" s="27"/>
      <c r="P17" s="27"/>
      <c r="Q17" s="26"/>
      <c r="R17" s="35" t="s">
        <v>321</v>
      </c>
      <c r="S17" s="34" t="s">
        <v>322</v>
      </c>
      <c r="T17" s="34" t="s">
        <v>323</v>
      </c>
      <c r="U17" s="27"/>
      <c r="V17" s="26"/>
      <c r="W17" s="26"/>
      <c r="X17" s="35" t="s">
        <v>324</v>
      </c>
      <c r="Y17" s="26"/>
      <c r="Z17" s="27"/>
      <c r="AA17" s="27"/>
      <c r="AB17" s="34" t="s">
        <v>325</v>
      </c>
      <c r="AC17" s="27"/>
      <c r="AD17" s="27"/>
      <c r="AE17" s="27"/>
      <c r="AF17" s="35" t="s">
        <v>326</v>
      </c>
      <c r="AG17" s="27"/>
      <c r="AH17" s="34" t="s">
        <v>327</v>
      </c>
      <c r="AI17"/>
      <c r="AJ17"/>
    </row>
  </sheetData>
  <pageMargins left="0.7" right="0.7" top="0.75" bottom="0.75" header="0.3" footer="0.3"/>
  <pageSetup paperSize="9" orientation="portrait" horizontalDpi="4294967293" verticalDpi="0" r:id="rId1"/>
  <drawing r:id="rId2"/>
  <tableParts count="1">
    <tablePart r:id="rId3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DA04F07640DDA4B96E7AE3A5B1C98C7" ma:contentTypeVersion="13" ma:contentTypeDescription="Create a new document." ma:contentTypeScope="" ma:versionID="a9b44bac87bf2a681cb7a321361a85fe">
  <xsd:schema xmlns:xsd="http://www.w3.org/2001/XMLSchema" xmlns:xs="http://www.w3.org/2001/XMLSchema" xmlns:p="http://schemas.microsoft.com/office/2006/metadata/properties" xmlns:ns2="ef41a48a-f676-4653-b147-23c866c42960" xmlns:ns3="154ad2c3-3cdc-4fd8-9023-4135fcc899b6" targetNamespace="http://schemas.microsoft.com/office/2006/metadata/properties" ma:root="true" ma:fieldsID="aa741c6c2504490ed8905e8d91ceb377" ns2:_="" ns3:_="">
    <xsd:import namespace="ef41a48a-f676-4653-b147-23c866c42960"/>
    <xsd:import namespace="154ad2c3-3cdc-4fd8-9023-4135fcc899b6"/>
    <xsd:element name="properties">
      <xsd:complexType>
        <xsd:sequence>
          <xsd:element name="documentManagement">
            <xsd:complexType>
              <xsd:all>
                <xsd:element ref="ns2:SharedWithUsers" minOccurs="0"/>
                <xsd:element ref="ns2:SharedWithDetails" minOccurs="0"/>
                <xsd:element ref="ns3:MediaServiceMetadata" minOccurs="0"/>
                <xsd:element ref="ns3:MediaServiceFastMetadata" minOccurs="0"/>
                <xsd:element ref="ns3:MediaServiceAutoKeyPoints" minOccurs="0"/>
                <xsd:element ref="ns3:MediaServiceKeyPoints" minOccurs="0"/>
                <xsd:element ref="ns3:MediaServiceDateTaken" minOccurs="0"/>
                <xsd:element ref="ns3:MediaLengthInSeconds" minOccurs="0"/>
                <xsd:element ref="ns3:MediaServiceAutoTags" minOccurs="0"/>
                <xsd:element ref="ns3:MediaServiceOCR" minOccurs="0"/>
                <xsd:element ref="ns3:MediaServiceGenerationTime" minOccurs="0"/>
                <xsd:element ref="ns3:MediaServiceEventHashCode" minOccurs="0"/>
                <xsd:element ref="ns3:MediaServiceLocation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f41a48a-f676-4653-b147-23c866c42960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54ad2c3-3cdc-4fd8-9023-4135fcc899b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0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1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2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3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LengthInSeconds" ma:index="15" nillable="true" ma:displayName="Length (seconds)" ma:internalName="MediaLengthInSeconds" ma:readOnly="true">
      <xsd:simpleType>
        <xsd:restriction base="dms:Unknown"/>
      </xsd:simpleType>
    </xsd:element>
    <xsd:element name="MediaServiceAutoTags" ma:index="16" nillable="true" ma:displayName="Tags" ma:internalName="MediaServiceAutoTags" ma:readOnly="true">
      <xsd:simpleType>
        <xsd:restriction base="dms:Text"/>
      </xsd:simpleType>
    </xsd:element>
    <xsd:element name="MediaServiceOCR" ma:index="17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8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9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Location" ma:index="20" nillable="true" ma:displayName="Location" ma:internalName="MediaServiceLocation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�� 
</file>

<file path=customXml/item4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09AFB56D-1446-4F8F-9C5F-115419D5EA82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3C148712-A345-439C-BA27-546F1BE42F41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f41a48a-f676-4653-b147-23c866c42960"/>
    <ds:schemaRef ds:uri="154ad2c3-3cdc-4fd8-9023-4135fcc899b6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3B83D42E-B6BA-4EA5-A0F5-9149F3276280}">
  <ds:schemaRefs>
    <ds:schemaRef ds:uri="http://schemas.microsoft.com/DataMashup"/>
  </ds:schemaRefs>
</ds:datastoreItem>
</file>

<file path=customXml/itemProps4.xml><?xml version="1.0" encoding="utf-8"?>
<ds:datastoreItem xmlns:ds="http://schemas.openxmlformats.org/officeDocument/2006/customXml" ds:itemID="{301E6890-FFFE-4A71-B4FC-FE09CAEBD4F9}">
  <ds:schemaRefs>
    <ds:schemaRef ds:uri="http://schemas.microsoft.com/office/2006/metadata/properties"/>
    <ds:schemaRef ds:uri="http://schemas.microsoft.com/office/2006/documentManagement/types"/>
    <ds:schemaRef ds:uri="http://purl.org/dc/elements/1.1/"/>
    <ds:schemaRef ds:uri="http://schemas.openxmlformats.org/package/2006/metadata/core-properties"/>
    <ds:schemaRef ds:uri="http://purl.org/dc/dcmitype/"/>
    <ds:schemaRef ds:uri="http://purl.org/dc/terms/"/>
    <ds:schemaRef ds:uri="http://schemas.microsoft.com/office/infopath/2007/PartnerControls"/>
    <ds:schemaRef ds:uri="154ad2c3-3cdc-4fd8-9023-4135fcc899b6"/>
    <ds:schemaRef ds:uri="ef41a48a-f676-4653-b147-23c866c42960"/>
    <ds:schemaRef ds:uri="http://www.w3.org/XML/1998/namespace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User Guide</vt:lpstr>
      <vt:lpstr>Register</vt:lpstr>
      <vt:lpstr>Overview Report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Essajee, Hatim</dc:creator>
  <cp:lastModifiedBy>Valued Customer</cp:lastModifiedBy>
  <dcterms:created xsi:type="dcterms:W3CDTF">2020-01-28T22:26:44Z</dcterms:created>
  <dcterms:modified xsi:type="dcterms:W3CDTF">2021-09-29T13:41:14Z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0x0101005DA04F07640DDA4B96E7AE3A5B1C98C7</vt:lpwstr>
  </property>
</Properties>
</file>