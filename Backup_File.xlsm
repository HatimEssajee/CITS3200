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D2FC426B-8EF8-46E7-BA6E-8997B449F78F}" xr6:coauthVersionLast="47" xr6:coauthVersionMax="47" xr10:uidLastSave="{00000000-0000-0000-0000-000000000000}"/>
  <bookViews>
    <workbookView xWindow="-108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" sheetId="10" r:id="rId3"/>
    <sheet name="Lookup Lists" sheetId="4" r:id="rId4"/>
  </sheets>
  <functionGroups builtInGroupCount="19"/>
  <definedNames>
    <definedName name="GI_Team">OFFSET('Lookup Lists'!$G$3,0,0,COUNTA('Lookup Lists'!$G$3:$G$20),1)</definedName>
    <definedName name="ImprovTypes">OFFSET('Lookup Lists'!$B$3,0,0,COUNTA('Lookup Lists'!$B$3:$B$10),1)</definedName>
    <definedName name="PrjChampTeam">OFFSET('Lookup Lists'!$J$3,0,0,COUNTA('Lookup Lists'!$J$3:$J$10),1)</definedName>
    <definedName name="PrjOrigTeam">OFFSET('Lookup Lists'!$D$3,0,0,COUNTA('Lookup Lists'!$D$3:$D$20),1)</definedName>
    <definedName name="PrjStatus">OFFSET('Lookup Lists'!$I$3,0,0,COUNTA('Lookup Lists'!$I$3:$I$20),1)</definedName>
    <definedName name="TeamSupp">OFFSET('Lookup Lists'!$K$3,0,0,COUNTA('Lookup Lists'!$K$3:$K$20),1)</definedName>
    <definedName name="TS_Team">OFFSET('Lookup Lists'!$F$3,0,0,COUNTA('Lookup Lists'!$F$3:$F$20),1)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M12" i="1" l="1"/>
  <c r="EM6" i="1"/>
  <c r="EM7" i="1"/>
  <c r="EM8" i="1"/>
  <c r="EM9" i="1"/>
  <c r="EM10" i="1"/>
  <c r="EM11" i="1"/>
</calcChain>
</file>

<file path=xl/sharedStrings.xml><?xml version="1.0" encoding="utf-8"?>
<sst xmlns="http://schemas.openxmlformats.org/spreadsheetml/2006/main" count="308" uniqueCount="249">
  <si>
    <t>Project Status</t>
  </si>
  <si>
    <t>Project Originator Team</t>
  </si>
  <si>
    <t>T &amp; S</t>
  </si>
  <si>
    <t>G &amp; I</t>
  </si>
  <si>
    <t>Production</t>
  </si>
  <si>
    <t>Mine Services</t>
  </si>
  <si>
    <t>Maintenance</t>
  </si>
  <si>
    <t>Improvement Types</t>
  </si>
  <si>
    <t>Cost Saving</t>
  </si>
  <si>
    <t>Operations Management</t>
  </si>
  <si>
    <t>External Stakeholder</t>
  </si>
  <si>
    <t>Other</t>
  </si>
  <si>
    <t>T&amp;S Members</t>
  </si>
  <si>
    <t>G &amp; I Members</t>
  </si>
  <si>
    <t>Yet to be started</t>
  </si>
  <si>
    <t>Project Champion Team</t>
  </si>
  <si>
    <t>Technical &amp; Support</t>
  </si>
  <si>
    <t>Governance &amp; Improvement</t>
  </si>
  <si>
    <t>Project Plan</t>
  </si>
  <si>
    <t>Stakeholder Engagement</t>
  </si>
  <si>
    <t>Research</t>
  </si>
  <si>
    <t>Change Management</t>
  </si>
  <si>
    <t>Project Implementation</t>
  </si>
  <si>
    <t>Monitor</t>
  </si>
  <si>
    <t>Risk Reduction</t>
  </si>
  <si>
    <t>Productivity Increase</t>
  </si>
  <si>
    <t>Team Supporters</t>
  </si>
  <si>
    <t>Complete</t>
  </si>
  <si>
    <t>J1</t>
  </si>
  <si>
    <t>A1</t>
  </si>
  <si>
    <t>G1</t>
  </si>
  <si>
    <t>H1</t>
  </si>
  <si>
    <t>M1</t>
  </si>
  <si>
    <t>M2</t>
  </si>
  <si>
    <t>P1</t>
  </si>
  <si>
    <t>H2</t>
  </si>
  <si>
    <t>I1</t>
  </si>
  <si>
    <t>A2</t>
  </si>
  <si>
    <t>J2</t>
  </si>
  <si>
    <t>J3</t>
  </si>
  <si>
    <t>S1</t>
  </si>
  <si>
    <t>S2</t>
  </si>
  <si>
    <t>J4</t>
  </si>
  <si>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</si>
  <si>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</si>
  <si>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</si>
  <si>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</si>
  <si>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</si>
  <si>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</si>
  <si>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</si>
  <si>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</si>
  <si>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</si>
  <si>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</si>
  <si>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</si>
  <si>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</si>
  <si>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</si>
  <si>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Stage 1 - User who Last Updated Entry</t>
  </si>
  <si>
    <t>Stage 2</t>
  </si>
  <si>
    <t>Stage 1 - Version Control</t>
  </si>
  <si>
    <t>Date CDA Received from Sponsor</t>
  </si>
  <si>
    <t>Date CDA sent to Contracts</t>
  </si>
  <si>
    <t>Date CDA received from Contracts</t>
  </si>
  <si>
    <t>Date CDA Finalised</t>
  </si>
  <si>
    <t>Date Feasibility Study Received</t>
  </si>
  <si>
    <t>Date Feasibility Study Completed</t>
  </si>
  <si>
    <t>Stage 2 - Version Control</t>
  </si>
  <si>
    <t>Stage 2 - Date Entry Last Updated</t>
  </si>
  <si>
    <t>Stage 2 - User who Last Updated Entry</t>
  </si>
  <si>
    <t>Pre-study Visit Date</t>
  </si>
  <si>
    <t>Pre-study Visit Type</t>
  </si>
  <si>
    <t>Validation Visit Date</t>
  </si>
  <si>
    <t>Validation Visit Type</t>
  </si>
  <si>
    <t>Site Selection Date</t>
  </si>
  <si>
    <t>Stage 3 - Reminder Comments</t>
  </si>
  <si>
    <t>Stage 3 - Version Control</t>
  </si>
  <si>
    <t>Stage 3 - Date Entry Last Updated</t>
  </si>
  <si>
    <t>Stage 3 - User who Last Updated Entry</t>
  </si>
  <si>
    <t>Date of Planning Meeting</t>
  </si>
  <si>
    <t>Status of Recruitment</t>
  </si>
  <si>
    <t>Stage 5 - Version Control</t>
  </si>
  <si>
    <t>Stage 5 - Reminder Comments</t>
  </si>
  <si>
    <t>Stage 5 - Date Entry Last Updated</t>
  </si>
  <si>
    <t>Stage 5 - User who Last Updated Entry</t>
  </si>
  <si>
    <t>Stage 4.1 - Version Control</t>
  </si>
  <si>
    <t>Stage 4.1 - Date Entry Last Updated</t>
  </si>
  <si>
    <t>Stage 4.1 - User who Last Updated Entry</t>
  </si>
  <si>
    <t>Stage 4.1 - Reminder Comments</t>
  </si>
  <si>
    <t>Stage 4.2 - Version Control</t>
  </si>
  <si>
    <t>Stage 4.2 - Date Entry Last Updated</t>
  </si>
  <si>
    <t>Stage 4.2 - User who Last Updated Entry</t>
  </si>
  <si>
    <t>Stage 4.2 - Reminder Comments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</si>
  <si>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</si>
  <si>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</si>
  <si>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</si>
  <si>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</si>
  <si>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</si>
  <si>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</si>
  <si>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</si>
  <si>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</si>
  <si>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</si>
  <si>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</si>
  <si>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</si>
  <si>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</si>
  <si>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</si>
  <si>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</si>
  <si>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</si>
  <si>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</si>
  <si>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</si>
  <si>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</si>
  <si>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</si>
  <si>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</si>
  <si>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</si>
  <si>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</si>
  <si>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</si>
  <si>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</si>
  <si>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</si>
  <si>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</si>
  <si>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</si>
  <si>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</si>
  <si>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</si>
  <si>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</si>
  <si>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</si>
  <si>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</si>
  <si>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</si>
  <si>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</si>
  <si>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</si>
  <si>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</si>
  <si>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Stage 4.3 - Version Control</t>
  </si>
  <si>
    <t>Stage 4.3 - Reminder Comments</t>
  </si>
  <si>
    <t>Stage 4.3 - Date Entry Last Updated</t>
  </si>
  <si>
    <t>Stage 4.3 - User who Last Updated Entry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</si>
  <si>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</si>
  <si>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</si>
  <si>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</si>
  <si>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</si>
  <si>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</si>
  <si>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</si>
  <si>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Stage 4.4 - Version Control</t>
  </si>
  <si>
    <t>Stage 4.4 - Reminder Comments</t>
  </si>
  <si>
    <t>Stage 4.4 - Date Entry Last Updated</t>
  </si>
  <si>
    <t>Stage 4.4 - User who Last Updated Entry</t>
  </si>
  <si>
    <t>Indemnity Review - Date Received</t>
  </si>
  <si>
    <t>Indemnity Review - Date Sent to Contracts</t>
  </si>
  <si>
    <t>Indemnity Review - Date Completed</t>
  </si>
  <si>
    <t>Stage 4.5 - Version Control</t>
  </si>
  <si>
    <t>Stage 4.5 - Reminder Comments</t>
  </si>
  <si>
    <t>Stage 4.5 - Date Entry Last Updated</t>
  </si>
  <si>
    <t>Stage 4.5 - User who Last Updated Entry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</si>
  <si>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</si>
  <si>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</si>
  <si>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</si>
  <si>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</si>
  <si>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</si>
  <si>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</si>
  <si>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</si>
  <si>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</si>
  <si>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Stage 6 - Version Control</t>
  </si>
  <si>
    <t>Stage 6 - Reminder Comments</t>
  </si>
  <si>
    <t>Stage 6 - Date Entry Last Updated</t>
  </si>
  <si>
    <t>Stage 6 - User who Last Updated Entry</t>
  </si>
  <si>
    <t>Stage 7 - Version Control</t>
  </si>
  <si>
    <t>Stage 7 - Reminder Comments</t>
  </si>
  <si>
    <t>Stage 7 - Date Entry Last Updated</t>
  </si>
  <si>
    <t>Stage 7 - User who Last Updated Entry</t>
  </si>
  <si>
    <t>Date of Site Initiation Visit</t>
  </si>
  <si>
    <t>Date Entry Created</t>
  </si>
  <si>
    <t>User who Created Entry</t>
  </si>
  <si>
    <t>Creation Log</t>
  </si>
  <si>
    <t>Current</t>
  </si>
  <si>
    <t>DELETED</t>
  </si>
  <si>
    <t>Study UID</t>
  </si>
  <si>
    <t>GSK</t>
  </si>
  <si>
    <t>ABC</t>
  </si>
  <si>
    <t>Stage 1 - Date Entry Last Updated2</t>
  </si>
  <si>
    <t>Stage 1 - Reminder Comments</t>
  </si>
  <si>
    <t>Initials of Feasibility Study Lead</t>
  </si>
  <si>
    <t>Date CDA Sent to Sponsor</t>
  </si>
  <si>
    <t>Stage 2 - Reminder Comments</t>
  </si>
  <si>
    <t>Virtual</t>
  </si>
  <si>
    <t>Pfizer</t>
  </si>
  <si>
    <t>On-site</t>
  </si>
  <si>
    <t>Admin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</si>
  <si>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</si>
  <si>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</si>
  <si>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</si>
  <si>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</si>
  <si>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</si>
  <si>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</si>
  <si>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</si>
  <si>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</si>
  <si>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</si>
  <si>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</si>
  <si>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</si>
  <si>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Age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</si>
  <si>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</si>
  <si>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</si>
  <si>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</si>
  <si>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</si>
  <si>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</si>
  <si>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</si>
  <si>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</si>
  <si>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</si>
  <si>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</si>
  <si>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</si>
  <si>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</si>
  <si>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</si>
  <si>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</si>
  <si>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</si>
  <si>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</si>
  <si>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</si>
  <si>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</si>
  <si>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BR mentioned need to confirm if $$s are ok</t>
  </si>
  <si>
    <t>Machine X requested by sponsor</t>
  </si>
  <si>
    <t>Completed recruitment by 20th April</t>
  </si>
  <si>
    <t>A = 04/05/2020</t>
  </si>
  <si>
    <t>Only WNHS</t>
  </si>
  <si>
    <t>the quick brown fox jumps over the lazy dog 1234567890_x000D_
Mary had a little lamb</t>
  </si>
  <si>
    <t>Email John for followup on x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</si>
  <si>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</si>
  <si>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</si>
  <si>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</si>
  <si>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</si>
  <si>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</si>
  <si>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</si>
  <si>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</si>
  <si>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</si>
  <si>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</si>
  <si>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</si>
  <si>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</si>
  <si>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</si>
  <si>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</si>
  <si>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</si>
  <si>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</si>
  <si>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</si>
  <si>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</si>
  <si>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</si>
  <si>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</si>
  <si>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</si>
  <si>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</si>
  <si>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TKI Pharmacy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</si>
  <si>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</si>
  <si>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</si>
  <si>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</si>
  <si>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</si>
  <si>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</si>
  <si>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</si>
  <si>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</si>
  <si>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</si>
  <si>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q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</si>
</sst>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\ hh:mm\ AM/PM"/>
    <numFmt numFmtId="165" formatCode="dd\-mmm\-yyyy\ hh:mm:ss\ AM/PM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2" fillId="0" borderId="0" xfId="0" applyFont="1" applyFill="1" applyAlignment="1">
      <alignment horizontal="left" vertical="top" wrapText="1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  <xf numFmtId="0" fontId="1" fillId="3" borderId="0" xfId="0" applyFont="1" applyFill="1" applyAlignment="1">
      <alignment horizontal="center" vertical="top"/>
    </xf>
  </cellXfs>
  <cellStyles count="1">
    <cellStyle name="Normal" xfId="0" builtinId="0"/>
  </cellStyles>
  <dxfs count="14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9B9B"/>
      <color rgb="FFD1B2E8"/>
      <color rgb="FFC39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10</xdr:col>
      <xdr:colOff>520065</xdr:colOff>
      <xdr:row>0</xdr:row>
      <xdr:rowOff>26672</xdr:rowOff>
    </xdr:from>
    <xdr:to>
      <xdr:col>11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12</xdr:row>
      <xdr:rowOff>0</xdr:rowOff>
    </xdr:from>
    <xdr:to>
      <xdr:col>1</xdr:col>
      <xdr:colOff>1379220</xdr:colOff>
      <xdr:row>12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11</xdr:col>
      <xdr:colOff>973455</xdr:colOff>
      <xdr:row>0</xdr:row>
      <xdr:rowOff>9525</xdr:rowOff>
    </xdr:from>
    <xdr:to>
      <xdr:col>12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EM12" totalsRowShown="0" headerRowDxfId="141" dataDxfId="140">
  <autoFilter ref="D5:EM12" xr:uid="{BD2666A9-87E0-46EB-A037-D9EB94680FA7}"/>
  <tableColumns count="140">
    <tableColumn id="1" xr3:uid="{9AC32D4F-ECA0-4CF7-B368-717585143913}" name="Study UID" dataDxfId="139"/>
    <tableColumn id="2" xr3:uid="{E7B8E3E7-876D-4E6F-8DB6-EF6D63439B27}" name="Date Entry Created" dataDxfId="138"/>
    <tableColumn id="3" xr3:uid="{3B5F919B-773E-47C5-BF9F-89E119924443}" name="User who Created Entry" dataDxfId="137"/>
    <tableColumn id="4" xr3:uid="{52C1C417-C52A-493E-89C7-EC47FA6A00DC}" name="Date Entry Deleted" dataDxfId="136"/>
    <tableColumn id="5" xr3:uid="{39C233C4-ADDB-4C9D-B737-5A0D8E1492BE}" name="User who Deleted Entry" dataDxfId="135"/>
    <tableColumn id="6" xr3:uid="{53729740-3F8D-4BAC-8FEC-59BDF6B2F443}" name="Date Entry Last Accessed" dataDxfId="134"/>
    <tableColumn id="7" xr3:uid="{DA0D4432-1F96-408E-9E20-0A93307325A9}" name="User who Last Accessed Entry" dataDxfId="133"/>
    <tableColumn id="8" xr3:uid="{6F0FF61C-C081-4935-8428-D4A47A4BBCB1}" name="Study Status" dataDxfId="132"/>
    <tableColumn id="9" xr3:uid="{C168B0E8-6B0E-4738-889B-03EE11931C45}" name="Protocol No." dataDxfId="131"/>
    <tableColumn id="10" xr3:uid="{62BEA025-DC58-429A-B106-10071F770F88}" name="Study Name" dataDxfId="130"/>
    <tableColumn id="11" xr3:uid="{A7B3BCB5-4CA7-47DC-90C2-9737F39C4784}" name="Study Sponsor" dataDxfId="129"/>
    <tableColumn id="12" xr3:uid="{1A28A6FA-BECD-4E0C-97EC-097A90AB4595}" name="Study CRO" dataDxfId="128"/>
    <tableColumn id="13" xr3:uid="{BDE3F8E5-FC27-4DAB-B793-A5713B6A05CB}" name="Age Range" dataDxfId="127"/>
    <tableColumn id="114" xr3:uid="{C3A7D0BB-FBFB-4222-A5F2-E44B2DBBE12D}" name="Stage 1 - Reminder Comments" dataDxfId="126"/>
    <tableColumn id="14" xr3:uid="{C5F3DA46-F052-48BE-94E3-59FE83081C77}" name="Stage 1 - Date Entry Last Updated2" dataDxfId="125"/>
    <tableColumn id="15" xr3:uid="{903EEA94-3205-4F60-B1EA-1A80730E5B85}" name="Stage 1 - User who Last Updated Entry" dataDxfId="124"/>
    <tableColumn id="16" xr3:uid="{F5215BDF-02E1-45F9-88DD-0714639FAD8A}" name="Date CDA Received from Sponsor" dataDxfId="123"/>
    <tableColumn id="17" xr3:uid="{A8829C95-7D06-40EF-A721-FE939DC97EB9}" name="Date CDA sent to Contracts" dataDxfId="122"/>
    <tableColumn id="18" xr3:uid="{D859B066-7B5B-43EA-AD34-13EDE3C8CA7D}" name="Date CDA received from Contracts" dataDxfId="121"/>
    <tableColumn id="115" xr3:uid="{DADD424C-6CA0-4B5C-8566-00FE2C6B71F4}" name="Date CDA Sent to Sponsor" dataDxfId="120"/>
    <tableColumn id="19" xr3:uid="{139AA284-7F13-43A5-935F-106F82F10E17}" name="Date CDA Finalised" dataDxfId="119"/>
    <tableColumn id="20" xr3:uid="{00B938A1-5FA0-4259-AB48-59245BD5B96B}" name="Date Feasibility Study Received" dataDxfId="118"/>
    <tableColumn id="21" xr3:uid="{377F9082-7AC6-481E-8D5E-847514CBFAE2}" name="Date Feasibility Study Completed" dataDxfId="117"/>
    <tableColumn id="22" xr3:uid="{47126869-0590-4768-961B-E71134854875}" name="Initials of Feasibility Study Lead" dataDxfId="116"/>
    <tableColumn id="23" xr3:uid="{C1B1A656-AD56-419F-A6BA-82410BA6FB72}" name="Stage 2 - Reminder Comments" dataDxfId="115"/>
    <tableColumn id="24" xr3:uid="{3298FCE0-DF1B-4163-AF5E-5856EF6A5797}" name="Stage 2 - Date Entry Last Updated" dataDxfId="114"/>
    <tableColumn id="25" xr3:uid="{2A63CCD3-6A71-4165-B717-934BB9CEA00F}" name="Stage 2 - User who Last Updated Entry" dataDxfId="113"/>
    <tableColumn id="26" xr3:uid="{AE8576F6-6F3A-4F8C-82F8-AED30A298B2C}" name="Pre-study Visit Date" dataDxfId="112"/>
    <tableColumn id="27" xr3:uid="{2513F984-57FD-4F89-AEF5-B11AB763DCA5}" name="Pre-study Visit Type" dataDxfId="111"/>
    <tableColumn id="28" xr3:uid="{F5EECCEE-20EC-402D-9A57-09CEA2247FF1}" name="Validation Visit Date" dataDxfId="110"/>
    <tableColumn id="29" xr3:uid="{6EF2D96C-7E36-48AE-9EE7-ED8EC82EDFF4}" name="Validation Visit Type" dataDxfId="109"/>
    <tableColumn id="30" xr3:uid="{51E11A76-451B-46A4-85A8-09E968D8AF8A}" name="Site Selection Date" dataDxfId="108"/>
    <tableColumn id="31" xr3:uid="{0F2B93F0-E2A3-444D-BC1E-1BC3A281076D}" name="Stage 3 - Reminder Comments" dataDxfId="107"/>
    <tableColumn id="32" xr3:uid="{A933B59E-36EB-4313-8833-770EAACAC06D}" name="Stage 3 - Date Entry Last Updated" dataDxfId="106"/>
    <tableColumn id="33" xr3:uid="{D562D6DF-BA87-48CC-8834-4FFA44DE6888}" name="Stage 3 - User who Last Updated Entry" dataDxfId="105"/>
    <tableColumn id="34" xr3:uid="{C024650E-D2B9-4914-AA95-97023111AD29}" name="Date of Planning Meeting" dataDxfId="104"/>
    <tableColumn id="35" xr3:uid="{F6C64C66-7D0D-4702-9DCC-9FC0BF5D0F9B}" name="Status of Recruitment" dataDxfId="103"/>
    <tableColumn id="36" xr3:uid="{74B76F35-6293-4966-8F03-9D16F8EE9633}" name="Stage 4.1 - Reminder Comments" dataDxfId="102"/>
    <tableColumn id="37" xr3:uid="{459708C4-D1D4-40EF-A8A8-F079E3916192}" name="Stage 4.1 - Date Entry Last Updated" dataDxfId="101"/>
    <tableColumn id="38" xr3:uid="{442EA66B-AAF5-4117-A5E1-21F93B6A6967}" name="Stage 4.1 - User who Last Updated Entry" dataDxfId="100"/>
    <tableColumn id="39" xr3:uid="{9964B3C8-3D02-46EB-BDED-26C767EB4AC3}" name="CAHS  Ethics Review - Date Submitted" dataDxfId="99"/>
    <tableColumn id="40" xr3:uid="{26247281-2CB3-4883-AE24-B79420FC7AEE}" name="CAHS Ethics Review - Date Responded" dataDxfId="98"/>
    <tableColumn id="41" xr3:uid="{1EDE9511-F7C5-4A34-8867-BA0BF688A7AC}" name="CAHS Ethics Review - Date Resubmitted" dataDxfId="97"/>
    <tableColumn id="42" xr3:uid="{44AA9C42-401C-49EC-B29A-4A0D4296D637}" name="CAHS Ethics Review - Date Approved" dataDxfId="96"/>
    <tableColumn id="43" xr3:uid="{798082B2-B03E-4B46-9A56-738B3B0F5E5A}" name="NMA Ethics Review - Ethics Committee Name" dataDxfId="95"/>
    <tableColumn id="44" xr3:uid="{2CB54EA0-B100-443E-B617-B4D691F38DCC}" name="NMA Ethics Review - Date Submitted" dataDxfId="94"/>
    <tableColumn id="45" xr3:uid="{F76C4994-5BC1-48EA-981A-39BD032C029E}" name="NMA Ethics Review - Date Approved" dataDxfId="93"/>
    <tableColumn id="46" xr3:uid="{76E7AC61-E480-4261-A0AB-7E565019132E}" name="WNHS Ethics Review - Date Submitted" dataDxfId="92"/>
    <tableColumn id="47" xr3:uid="{86AF5B51-5617-486F-9B3A-57E302C39871}" name="WNHS Ethics Review - Date Approved" dataDxfId="91"/>
    <tableColumn id="48" xr3:uid="{90FD63C9-46AA-40BA-9205-9E3460E0F3FE}" name="SJOG Ethics Review - Date Submitted" dataDxfId="90"/>
    <tableColumn id="49" xr3:uid="{31EE4506-BE3C-4091-B749-CD3ED9859A01}" name="SJOG Ethics Review - Date Approved" dataDxfId="89"/>
    <tableColumn id="50" xr3:uid="{BB79F0B0-58FA-41B6-A978-5F76858B4DA7}" name="Other Ethics Review - Ethics Committee Name" dataDxfId="88"/>
    <tableColumn id="51" xr3:uid="{F75D2536-4793-4BDC-BB7B-DA378B34C6B3}" name="Other Ethics Review - Date Submitted" dataDxfId="87"/>
    <tableColumn id="52" xr3:uid="{F769CB72-B86F-46DC-A286-CDCEBD740457}" name="Other Ethics Review - Date Approved" dataDxfId="86"/>
    <tableColumn id="53" xr3:uid="{E12E1E43-A6FD-41C1-B5C0-D3FBBF4747B9}" name="Stage 4.2 - Reminder Comments" dataDxfId="85"/>
    <tableColumn id="54" xr3:uid="{C8C3DA21-4F24-49BB-912A-7D22EA189220}" name="Stage 4.2 - Date Entry Last Updated" dataDxfId="84"/>
    <tableColumn id="55" xr3:uid="{62C7921E-2056-435B-AB9B-E89ABF257981}" name="Stage 4.2 - User who Last Updated Entry" dataDxfId="83"/>
    <tableColumn id="56" xr3:uid="{0615EC98-9B6E-4944-A6FF-E88640C3193F}" name="PCH Gov. Review - Date Submitted" dataDxfId="82"/>
    <tableColumn id="57" xr3:uid="{D24239AB-E437-4E7F-A042-34905B1BC3B2}" name="PCH Gov. Review - Date Responded" dataDxfId="81"/>
    <tableColumn id="58" xr3:uid="{025D2BED-5811-407D-83F1-4D2039079103}" name="PCH Gov. Review - Date Approved" dataDxfId="80"/>
    <tableColumn id="59" xr3:uid="{0A796D18-5B75-4C80-A92D-12A864CB9880}" name="TKI Gov. Review - Date Submitted" dataDxfId="79"/>
    <tableColumn id="60" xr3:uid="{4972A11A-0ED2-419B-8656-18ABCA58416C}" name="TKI Gov. Review - Date Responded" dataDxfId="78"/>
    <tableColumn id="61" xr3:uid="{88A687E1-8C73-413E-9601-62473B748106}" name="TKI Gov. Review - Date Approved" dataDxfId="77"/>
    <tableColumn id="62" xr3:uid="{79F8CC08-2272-415D-BCF7-CF29FFB77D6B}" name="KEMH Gov. Review - Date Submitted" dataDxfId="76"/>
    <tableColumn id="63" xr3:uid="{3CB3BA88-D84A-48EA-B765-C3EEFF3AD46F}" name="KEMH Gov. Review - Date Responded" dataDxfId="75"/>
    <tableColumn id="64" xr3:uid="{4E3A6DA4-5C8C-4ED4-A9A0-ABFFE82391EB}" name="KEMH Gov. Review - Date Approved" dataDxfId="74"/>
    <tableColumn id="65" xr3:uid="{A443B807-D4EF-4494-BCF7-3B72E08694DC}" name="SJOG Subiaco Gov. Review - Date Submitted" dataDxfId="73"/>
    <tableColumn id="66" xr3:uid="{DD2922A4-7353-4C3E-9446-6B545F1B6A73}" name="SJOG Subiaco Gov. Review - Date Responded" dataDxfId="72"/>
    <tableColumn id="67" xr3:uid="{39EBD920-89C6-48C4-AA11-2202683C8421}" name="SJOG Subiaco Gov. Review - Date Approved" dataDxfId="71"/>
    <tableColumn id="68" xr3:uid="{630217EE-5B88-404C-A98D-66036539C9CF}" name="SJOG Mt Lawley Gov. Review - Date Submitted" dataDxfId="70"/>
    <tableColumn id="69" xr3:uid="{00123D1D-27B4-4B38-AE60-5BB9E8F89B05}" name="SJOG Mt Lawley Gov. Review - Date Responded" dataDxfId="69"/>
    <tableColumn id="70" xr3:uid="{BFB4ACA6-F32B-4157-A5AC-B4775E3641C4}" name="SJOG Mt Lawley Gov. Review - Date Approved" dataDxfId="68"/>
    <tableColumn id="71" xr3:uid="{65824E65-5F62-40FF-B404-A77F41919759}" name="SJOG Murdoch Gov. Review - Date Submitted" dataDxfId="67"/>
    <tableColumn id="72" xr3:uid="{39B9CFDF-F020-40EE-9574-8F5E05CC59F5}" name="SJOG Murdoch Gov. Review - Date Responded" dataDxfId="66"/>
    <tableColumn id="73" xr3:uid="{79D673C6-9F43-4581-BADC-9143E00B486D}" name="SJOG Murdoch Gov. Review - Date Approved" dataDxfId="65"/>
    <tableColumn id="74" xr3:uid="{6FCA8FAF-0DAB-4AD1-AAE4-304E922AFD9C}" name="Other Gov. Review - Governance Body" dataDxfId="64"/>
    <tableColumn id="75" xr3:uid="{6577E397-E046-4CE7-9285-A01130B0F798}" name="Other Gov. Review - Date Submitted" dataDxfId="63"/>
    <tableColumn id="76" xr3:uid="{58CB8C09-C7B6-4F45-BB52-CF8674AD811C}" name="Other Gov. Review - Date Responded" dataDxfId="62"/>
    <tableColumn id="77" xr3:uid="{D5C40437-C6D5-4D8D-B4CC-57B24B05A463}" name="Other Gov. Review - Date Approved" dataDxfId="61"/>
    <tableColumn id="78" xr3:uid="{8678F901-131F-464D-8702-05D7CA7D2A74}" name="Stage 4.3 - Reminder Comments" dataDxfId="60"/>
    <tableColumn id="79" xr3:uid="{9A9461B3-2B66-4A3D-BF70-EB9B95DECD11}" name="Stage 4.3 - Date Entry Last Updated" dataDxfId="59"/>
    <tableColumn id="80" xr3:uid="{626B8BE8-1541-4454-A8CE-47B0BD429392}" name="Stage 4.3 - User who Last Updated Entry" dataDxfId="58"/>
    <tableColumn id="81" xr3:uid="{6B75C9B1-2352-42A5-82C3-B580E87FD170}" name="VTG Budget Review - Date Finalised" dataDxfId="57"/>
    <tableColumn id="82" xr3:uid="{75FFB480-BE64-4522-9C0F-57DD067606BB}" name="VTG Budget Review - Date Submitted to Finance" dataDxfId="56"/>
    <tableColumn id="83" xr3:uid="{68CA3BCD-DF78-40FA-8CF4-A445896AE8DA}" name="VTG Budget Review - Date Approved" dataDxfId="55"/>
    <tableColumn id="84" xr3:uid="{8FFCDE2C-2733-42BB-A35B-D69164207B06}" name="TKI Budget Review - Date Approved" dataDxfId="54"/>
    <tableColumn id="85" xr3:uid="{6AFD5E5C-93F2-4A4D-A7CB-AD5951CED9C8}" name="Pharmacy Budget Review - Date Quote Received" dataDxfId="53"/>
    <tableColumn id="86" xr3:uid="{A844F452-F561-4298-B42D-2C6B75451D2B}" name="Pharmacy Budget Review - Date PO Finalised" dataDxfId="52"/>
    <tableColumn id="87" xr3:uid="{41F400E1-3F20-442B-8966-FCA15D2F6B47}" name="Stage 4.4 - Reminder Comments" dataDxfId="51"/>
    <tableColumn id="88" xr3:uid="{9F78CF46-4D6F-4F2F-85F7-C44117D22BE2}" name="Stage 4.4 - Date Entry Last Updated" dataDxfId="50"/>
    <tableColumn id="89" xr3:uid="{661FB2C1-04FC-4E59-8AC5-EA5880B60C62}" name="Stage 4.4 - User who Last Updated Entry" dataDxfId="49"/>
    <tableColumn id="90" xr3:uid="{7D4600DF-25C0-477B-804F-C7731C44FAF0}" name="Indemnity Review - Date Received" dataDxfId="48"/>
    <tableColumn id="91" xr3:uid="{BBBBD697-C807-4E80-B22D-5AB877D128B9}" name="Indemnity Review - Date Sent to Contracts" dataDxfId="47"/>
    <tableColumn id="92" xr3:uid="{8D0E79C2-3325-4CF4-9795-4574111719D7}" name="Indemnity Review - Date Completed" dataDxfId="46"/>
    <tableColumn id="93" xr3:uid="{F78413AA-3BCC-4AFC-93E9-752DB0D6EE7F}" name="Stage 4.5 - Reminder Comments" dataDxfId="45"/>
    <tableColumn id="94" xr3:uid="{FCF2F161-8C62-4199-A427-36C7423EC4D2}" name="Stage 4.5 - Date Entry Last Updated" dataDxfId="44"/>
    <tableColumn id="95" xr3:uid="{B46611FA-EB79-4C3B-BFE5-40930639DD40}" name="Stage 4.5 - User who Last Updated Entry" dataDxfId="43"/>
    <tableColumn id="96" xr3:uid="{8D1B4908-F483-49FE-91DB-1E1975636120}" name="CTRA - Date submitted to Research, Gov. &amp; Contracts" dataDxfId="42"/>
    <tableColumn id="97" xr3:uid="{562497F3-5849-45D8-AF12-2C1ED56732F1}" name="CTRA - Date of UWA Review" dataDxfId="41"/>
    <tableColumn id="98" xr3:uid="{BA1BB81E-4EF2-437A-9AD0-EC02033CC8F5}" name="CTRA - Date of Finance Review &amp; Approval" dataDxfId="40"/>
    <tableColumn id="99" xr3:uid="{2A96554F-29DD-42AB-A725-F4B6D4F90979}" name="CTRA - Date of COO / CFO sign-off" dataDxfId="39"/>
    <tableColumn id="100" xr3:uid="{22222C86-17E0-4549-BFE8-D7F10210EDC5}" name="CTRA - Date of VTG sign-off" dataDxfId="38"/>
    <tableColumn id="101" xr3:uid="{C797BCD9-1E56-4B88-ADAD-48FAAF88EF70}" name="CTRA - Date of submission to Company" dataDxfId="37"/>
    <tableColumn id="102" xr3:uid="{8A03AEAE-CEB4-42E9-8C7E-A7A974E85A39}" name="CTRA - Date Finalised" dataDxfId="36"/>
    <tableColumn id="103" xr3:uid="{585067F2-0DD8-4AC8-9958-7149C564015B}" name="Stage 5 - Reminder Comments" dataDxfId="35"/>
    <tableColumn id="104" xr3:uid="{91B30194-C36B-4490-B356-0BFF07DB46DB}" name="Stage 5 - Date Entry Last Updated" dataDxfId="34"/>
    <tableColumn id="105" xr3:uid="{7579B37E-01CB-44D3-8336-F43826DBAE1D}" name="Stage 5 - User who Last Updated Entry" dataDxfId="33"/>
    <tableColumn id="106" xr3:uid="{AB9F4B42-B713-4DF1-B852-3F96AB72776F}" name="Date Financial Disclosure Completed" dataDxfId="32"/>
    <tableColumn id="107" xr3:uid="{157206C9-8BC6-4229-A2E6-C6E94F204C07}" name="Stage 6 - Reminder Comments" dataDxfId="31"/>
    <tableColumn id="108" xr3:uid="{7531B9AB-7FE6-4349-AAD5-799FB1253501}" name="Stage 6 - Date Entry Last Updated" dataDxfId="30"/>
    <tableColumn id="109" xr3:uid="{7FA74446-EA0A-4529-8772-08A4EDF68C7F}" name="Stage 6 - User who Last Updated Entry" dataDxfId="29"/>
    <tableColumn id="110" xr3:uid="{DD9F3EB9-59A2-4EAF-A925-8F55ACD8417F}" name="Date of Site Initiation Visit" dataDxfId="28"/>
    <tableColumn id="111" xr3:uid="{6818FC6B-B8AD-4B1D-8844-94D5C2E53D03}" name="Stage 7 - Reminder Comments" dataDxfId="27"/>
    <tableColumn id="112" xr3:uid="{DDD987A1-CA15-4B6D-817F-D4D84B94F758}" name="Stage 7 - Date Entry Last Updated" dataDxfId="26"/>
    <tableColumn id="113" xr3:uid="{3E4DD0DD-9BDA-4CA8-8A38-D3205AB533E3}" name="Stage 7 - User who Last Updated Entry" dataDxfId="25"/>
    <tableColumn id="116" xr3:uid="{7796515B-70C0-44B5-AC23-3B8D8118C024}" name="Study Details Complete" dataDxfId="24"/>
    <tableColumn id="117" xr3:uid="{9EEB8B23-A4CB-4351-BA34-28B875CA5BC9}" name="CDA Complete" dataDxfId="23"/>
    <tableColumn id="118" xr3:uid="{EEAF9685-FF58-4299-8AC9-70EAA41D7867}" name="FS Complete" dataDxfId="22"/>
    <tableColumn id="119" xr3:uid="{5A71745D-F91F-430E-85CB-6A3ADD0FB772}" name="Site Selection Complete" dataDxfId="21"/>
    <tableColumn id="120" xr3:uid="{51A43A1E-C977-4D5A-AB3B-B853BC3664B2}" name="Recruitment Complete" dataDxfId="20"/>
    <tableColumn id="125" xr3:uid="{5335C76C-7C49-4E93-8894-36BD0B1E9804}" name="Ethics - CAHS Complete" dataDxfId="18"/>
    <tableColumn id="126" xr3:uid="{6151F69C-D5F9-4128-A8E3-E444A31C4646}" name="Ethics - NMA Complete" dataDxfId="17"/>
    <tableColumn id="127" xr3:uid="{9815D2CB-7014-4939-A39D-D99E35ADF880}" name="Ethics - WNHS Complete" dataDxfId="16"/>
    <tableColumn id="128" xr3:uid="{C5816B87-1D9E-443D-B71D-EF2D56B064FF}" name="Ethics - SJOG Complete" dataDxfId="15"/>
    <tableColumn id="129" xr3:uid="{53DFFA91-EBD7-414F-B499-00141C01A736}" name="Ethics - Others Complete" dataDxfId="14"/>
    <tableColumn id="130" xr3:uid="{6DEF5359-846A-472E-944D-281B57926E62}" name="Gov - PCH Complete" dataDxfId="13"/>
    <tableColumn id="121" xr3:uid="{5BA4DB4D-271A-4BB3-94C9-A78D01150788}" name="Gov - TKI Complete" dataDxfId="19"/>
    <tableColumn id="131" xr3:uid="{C9A3CA08-C8A7-4291-92C9-705C74D485AD}" name="Gov - KEMH Complete" dataDxfId="12"/>
    <tableColumn id="132" xr3:uid="{873FD3D8-F030-49F1-A92C-6E32C445C899}" name="Gov - SJOG Subiaco Complete" dataDxfId="11"/>
    <tableColumn id="133" xr3:uid="{B8FF200A-00A6-4130-B768-491439CBFBE7}" name="Gov - SJOG Mt Lawley Complete" dataDxfId="10"/>
    <tableColumn id="134" xr3:uid="{13941F44-D716-4592-BC82-B255BE12E60C}" name="Gov - SJOG Murdoch Complete" dataDxfId="9"/>
    <tableColumn id="135" xr3:uid="{65C1857A-EC53-4A30-8B4D-8610A2522D10}" name="Gov - Others Complete" dataDxfId="8"/>
    <tableColumn id="136" xr3:uid="{E474FC60-EFC4-474D-9C31-CEF1A05FD126}" name="Budget - VTG Complete" dataDxfId="7"/>
    <tableColumn id="137" xr3:uid="{A1CA2D0C-A904-4071-916A-3EA32C06434B}" name="Budget - TKI Pharmacy" dataDxfId="6"/>
    <tableColumn id="138" xr3:uid="{9906220F-039C-40DA-AA46-ECC109B914AD}" name="Budget - Pharmacy Complete" dataDxfId="5"/>
    <tableColumn id="139" xr3:uid="{A08FFA89-66DB-4DD3-BDF6-36DB93440443}" name="Indemnity Complete" dataDxfId="4"/>
    <tableColumn id="140" xr3:uid="{B66F3B52-4D1F-4A39-87B7-4E9740B05ACD}" name="CTRA Complete" dataDxfId="3"/>
    <tableColumn id="141" xr3:uid="{0F417A9F-84AB-492F-878B-EE38BA61D4C8}" name="Fin Disc Complete" dataDxfId="2"/>
    <tableColumn id="142" xr3:uid="{86AF2DD4-CDD5-49D8-99CF-C0B75D633343}" name="SIV Complete" dataDxfId="1"/>
    <tableColumn id="143" xr3:uid="{913EC14F-DFDE-47C6-8878-E25A3F13CB44}" name="Fast Cycle Location" dataDxfId="0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B4:B5"/>
  <sheetViews>
    <sheetView workbookViewId="0">
      <selection activeCell="E7" sqref="E7"/>
    </sheetView>
  </sheetViews>
  <sheetFormatPr defaultRowHeight="14.4" x14ac:dyDescent="0.3"/>
  <sheetData>
    <row r="4" spans="2:2" x14ac:dyDescent="0.3">
      <c r="B4" t="s">
        <v>181</v>
      </c>
    </row>
    <row r="5" spans="2:2" x14ac:dyDescent="0.3">
      <c r="B5" t="s">
        <v>182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3:EN17"/>
  <sheetViews>
    <sheetView tabSelected="1" zoomScaleNormal="100" workbookViewId="0">
      <selection activeCell="EM1" sqref="DO1:EM1048576"/>
    </sheetView>
  </sheetViews>
  <sheetFormatPr defaultColWidth="9.109375" defaultRowHeight="14.4" outlineLevelRow="1" outlineLevelCol="2" x14ac:dyDescent="0.3"/>
  <cols>
    <col min="1" max="1" width="2.88671875" style="2" customWidth="1"/>
    <col min="2" max="2" width="27.44140625" style="2" customWidth="1"/>
    <col min="3" max="3" width="2.88671875" style="2" customWidth="1"/>
    <col min="4" max="4" width="22.6640625" style="2" hidden="1" customWidth="1" outlineLevel="1"/>
    <col min="5" max="5" width="23.33203125" style="2" hidden="1" customWidth="1" outlineLevel="1"/>
    <col min="6" max="6" width="22.6640625" style="3" hidden="1" customWidth="1" outlineLevel="1"/>
    <col min="7" max="7" width="23.33203125" style="3" hidden="1" customWidth="1" outlineLevel="1"/>
    <col min="8" max="8" width="23.88671875" style="2" hidden="1" customWidth="1" outlineLevel="1"/>
    <col min="9" max="9" width="28.109375" style="3" hidden="1" customWidth="1" outlineLevel="1"/>
    <col min="10" max="10" width="13.44140625" style="2" hidden="1" customWidth="1" outlineLevel="1" collapsed="1"/>
    <col min="11" max="11" width="19.109375" style="2" customWidth="1" collapsed="1"/>
    <col min="12" max="12" width="25.88671875" style="2" customWidth="1"/>
    <col min="13" max="13" width="44.6640625" style="2" customWidth="1"/>
    <col min="14" max="14" width="21.33203125" style="2" customWidth="1"/>
    <col min="15" max="15" width="17.88671875" style="2" customWidth="1"/>
    <col min="16" max="16" width="31.109375" style="2" customWidth="1"/>
    <col min="17" max="17" width="31.109375" style="2" hidden="1" customWidth="1" outlineLevel="1"/>
    <col min="18" max="18" width="35.33203125" style="2" hidden="1" customWidth="1" outlineLevel="2"/>
    <col min="19" max="19" width="31.33203125" style="2" hidden="1" customWidth="1" outlineLevel="2" collapsed="1"/>
    <col min="20" max="20" width="34.33203125" style="2" customWidth="1" collapsed="1"/>
    <col min="21" max="21" width="32" style="2" customWidth="1"/>
    <col min="22" max="22" width="32.33203125" style="2" bestFit="1" customWidth="1"/>
    <col min="23" max="23" width="25.33203125" style="2" bestFit="1" customWidth="1"/>
    <col min="24" max="24" width="29.88671875" style="2" customWidth="1"/>
    <col min="25" max="25" width="31.5546875" style="2" customWidth="1"/>
    <col min="26" max="26" width="34" style="2" customWidth="1"/>
    <col min="27" max="27" width="32.88671875" style="2" customWidth="1"/>
    <col min="28" max="28" width="31.109375" style="2" hidden="1" customWidth="1" outlineLevel="1"/>
    <col min="29" max="29" width="35.33203125" style="2" hidden="1" customWidth="1" outlineLevel="1"/>
    <col min="30" max="30" width="20" style="2" hidden="1" customWidth="1" outlineLevel="1"/>
    <col min="31" max="31" width="20.109375" style="2" customWidth="1" collapsed="1"/>
    <col min="32" max="32" width="20.5546875" style="2" customWidth="1"/>
    <col min="33" max="33" width="20.6640625" style="2" customWidth="1"/>
    <col min="34" max="34" width="19.33203125" style="2" customWidth="1"/>
    <col min="35" max="35" width="28.6640625" style="2" customWidth="1"/>
    <col min="36" max="36" width="31.109375" style="2" hidden="1" customWidth="1" outlineLevel="1"/>
    <col min="37" max="37" width="35.33203125" style="2" hidden="1" customWidth="1" outlineLevel="1"/>
    <col min="38" max="38" width="24.88671875" style="2" hidden="1" customWidth="1" outlineLevel="1"/>
    <col min="39" max="39" width="21.5546875" style="2" customWidth="1" collapsed="1"/>
    <col min="40" max="40" width="30.33203125" style="2" customWidth="1"/>
    <col min="41" max="41" width="32.6640625" style="2" hidden="1" customWidth="1" outlineLevel="1"/>
    <col min="42" max="42" width="36.6640625" style="2" hidden="1" customWidth="1" outlineLevel="1"/>
    <col min="43" max="43" width="35.109375" style="2" hidden="1" customWidth="1" outlineLevel="1"/>
    <col min="44" max="44" width="35.44140625" style="2" customWidth="1" collapsed="1"/>
    <col min="45" max="45" width="36.6640625" style="2" customWidth="1"/>
    <col min="46" max="46" width="34.33203125" style="2" customWidth="1"/>
    <col min="47" max="47" width="41.6640625" style="2" customWidth="1"/>
    <col min="48" max="48" width="34.5546875" style="2" customWidth="1"/>
    <col min="49" max="49" width="34" style="2" customWidth="1"/>
    <col min="50" max="50" width="35.6640625" style="2" customWidth="1"/>
    <col min="51" max="51" width="35.109375" style="2" customWidth="1"/>
    <col min="52" max="52" width="34.5546875" style="2" customWidth="1"/>
    <col min="53" max="53" width="34" style="2" customWidth="1"/>
    <col min="54" max="54" width="42.33203125" style="2" bestFit="1" customWidth="1"/>
    <col min="55" max="55" width="35.109375" style="2" customWidth="1"/>
    <col min="56" max="56" width="34.5546875" style="2" customWidth="1"/>
    <col min="57" max="57" width="30.33203125" style="2" customWidth="1"/>
    <col min="58" max="58" width="32.6640625" style="2" hidden="1" customWidth="1" outlineLevel="1"/>
    <col min="59" max="59" width="36.6640625" style="2" hidden="1" customWidth="1" outlineLevel="1"/>
    <col min="60" max="60" width="32.6640625" style="2" hidden="1" customWidth="1" outlineLevel="1"/>
    <col min="61" max="61" width="33.33203125" style="2" customWidth="1" collapsed="1"/>
    <col min="62" max="62" width="32.109375" style="2" customWidth="1"/>
    <col min="63" max="63" width="31.6640625" style="2" customWidth="1"/>
    <col min="64" max="64" width="32.5546875" style="2" customWidth="1"/>
    <col min="65" max="65" width="31.33203125" style="2" customWidth="1"/>
    <col min="66" max="66" width="34.33203125" style="2" customWidth="1"/>
    <col min="67" max="67" width="35" style="2" customWidth="1"/>
    <col min="68" max="68" width="33.6640625" style="2" customWidth="1"/>
    <col min="69" max="69" width="40.6640625" style="2" customWidth="1"/>
    <col min="70" max="70" width="41.44140625" style="2" customWidth="1"/>
    <col min="71" max="71" width="40.109375" style="2" customWidth="1"/>
    <col min="72" max="72" width="42.88671875" style="2" customWidth="1"/>
    <col min="73" max="73" width="43.6640625" style="2" customWidth="1"/>
    <col min="74" max="74" width="42.33203125" style="2" customWidth="1"/>
    <col min="75" max="75" width="41.6640625" style="2" customWidth="1"/>
    <col min="76" max="76" width="42.5546875" style="2" customWidth="1"/>
    <col min="77" max="77" width="41.33203125" style="2" customWidth="1"/>
    <col min="78" max="78" width="35.88671875" style="2" customWidth="1"/>
    <col min="79" max="79" width="34.33203125" style="2" customWidth="1"/>
    <col min="80" max="80" width="34.88671875" style="2" customWidth="1"/>
    <col min="81" max="81" width="33.6640625" style="2" customWidth="1"/>
    <col min="82" max="82" width="30.33203125" style="2" customWidth="1"/>
    <col min="83" max="83" width="32.6640625" style="2" hidden="1" customWidth="1" outlineLevel="1"/>
    <col min="84" max="84" width="36.6640625" style="2" hidden="1" customWidth="1" outlineLevel="1"/>
    <col min="85" max="85" width="33.6640625" style="2" hidden="1" customWidth="1" outlineLevel="1"/>
    <col min="86" max="86" width="44.33203125" style="2" customWidth="1" collapsed="1"/>
    <col min="87" max="87" width="34.33203125" style="2" customWidth="1"/>
    <col min="88" max="88" width="33.33203125" style="2" customWidth="1"/>
    <col min="89" max="89" width="44.33203125" style="2" customWidth="1"/>
    <col min="90" max="90" width="41.33203125" style="2" customWidth="1"/>
    <col min="91" max="91" width="30.33203125" style="2" customWidth="1"/>
    <col min="92" max="92" width="32.6640625" style="2" hidden="1" customWidth="1" outlineLevel="1"/>
    <col min="93" max="93" width="36.6640625" style="2" hidden="1" customWidth="1" outlineLevel="1"/>
    <col min="94" max="94" width="32.5546875" style="2" hidden="1" customWidth="1" outlineLevel="1"/>
    <col min="95" max="95" width="39.33203125" style="2" customWidth="1" collapsed="1"/>
    <col min="96" max="96" width="34.33203125" style="2" customWidth="1"/>
    <col min="97" max="97" width="30.33203125" style="2" customWidth="1"/>
    <col min="98" max="98" width="32.6640625" style="2" hidden="1" customWidth="1" outlineLevel="1"/>
    <col min="99" max="99" width="36.6640625" style="2" hidden="1" customWidth="1" outlineLevel="1"/>
    <col min="100" max="100" width="48.109375" style="2" hidden="1" customWidth="1" outlineLevel="1"/>
    <col min="101" max="101" width="27" style="2" customWidth="1" collapsed="1"/>
    <col min="102" max="102" width="39.33203125" style="2" customWidth="1"/>
    <col min="103" max="103" width="31.6640625" style="2" customWidth="1"/>
    <col min="104" max="104" width="26.33203125" style="2" customWidth="1"/>
    <col min="105" max="105" width="36" style="2" customWidth="1"/>
    <col min="106" max="106" width="21.109375" style="2" customWidth="1"/>
    <col min="107" max="107" width="28.6640625" style="2" customWidth="1"/>
    <col min="108" max="108" width="31.109375" style="2" hidden="1" customWidth="1" outlineLevel="1"/>
    <col min="109" max="109" width="35.33203125" style="2" hidden="1" customWidth="1" outlineLevel="1"/>
    <col min="110" max="110" width="34.33203125" style="2" hidden="1" customWidth="1" outlineLevel="1"/>
    <col min="111" max="111" width="28.6640625" style="2" customWidth="1" collapsed="1"/>
    <col min="112" max="112" width="31.109375" style="2" hidden="1" customWidth="1" outlineLevel="1"/>
    <col min="113" max="113" width="35.33203125" style="2" hidden="1" customWidth="1" outlineLevel="1"/>
    <col min="114" max="114" width="25.5546875" style="2" hidden="1" customWidth="1" outlineLevel="1" collapsed="1"/>
    <col min="115" max="115" width="28.6640625" style="2" customWidth="1" collapsed="1"/>
    <col min="116" max="116" width="29.5546875" style="2" hidden="1" customWidth="1" outlineLevel="1"/>
    <col min="117" max="117" width="32.109375" style="2" hidden="1" customWidth="1" outlineLevel="1"/>
    <col min="118" max="118" width="36.33203125" style="2" hidden="1" customWidth="1" outlineLevel="1" collapsed="1"/>
    <col min="119" max="119" width="22.88671875" style="2" hidden="1" customWidth="1" outlineLevel="1" collapsed="1"/>
    <col min="120" max="120" width="15.44140625" style="2" hidden="1" customWidth="1" outlineLevel="1"/>
    <col min="121" max="121" width="13.6640625" style="2" hidden="1" customWidth="1" outlineLevel="1"/>
    <col min="122" max="122" width="23.21875" style="2" hidden="1" customWidth="1" outlineLevel="1"/>
    <col min="123" max="123" width="22.33203125" style="2" hidden="1" customWidth="1" outlineLevel="1"/>
    <col min="124" max="124" width="23" style="2" hidden="1" customWidth="1" outlineLevel="1"/>
    <col min="125" max="125" width="22.77734375" style="2" hidden="1" customWidth="1" outlineLevel="1"/>
    <col min="126" max="126" width="23.88671875" style="2" hidden="1" customWidth="1" outlineLevel="1"/>
    <col min="127" max="127" width="22.6640625" style="2" hidden="1" customWidth="1" outlineLevel="1"/>
    <col min="128" max="128" width="24.109375" style="2" hidden="1" customWidth="1" outlineLevel="1"/>
    <col min="129" max="129" width="20.33203125" style="2" hidden="1" customWidth="1" outlineLevel="1"/>
    <col min="130" max="130" width="19.5546875" style="2" hidden="1" customWidth="1" outlineLevel="1"/>
    <col min="131" max="131" width="22" style="2" hidden="1" customWidth="1" outlineLevel="1"/>
    <col min="132" max="132" width="28.44140625" style="2" hidden="1" customWidth="1" outlineLevel="1"/>
    <col min="133" max="133" width="30.44140625" style="2" hidden="1" customWidth="1" outlineLevel="1"/>
    <col min="134" max="134" width="29.5546875" style="2" hidden="1" customWidth="1" outlineLevel="1"/>
    <col min="135" max="135" width="22.33203125" style="2" hidden="1" customWidth="1" outlineLevel="1"/>
    <col min="136" max="136" width="23" style="2" hidden="1" customWidth="1" outlineLevel="1"/>
    <col min="137" max="137" width="22.5546875" style="2" hidden="1" customWidth="1" outlineLevel="1"/>
    <col min="138" max="138" width="28.21875" style="2" hidden="1" customWidth="1" outlineLevel="1"/>
    <col min="139" max="143" width="21.33203125" style="2" hidden="1" customWidth="1" outlineLevel="1"/>
    <col min="144" max="144" width="9.109375" style="2" collapsed="1"/>
    <col min="145" max="16384" width="9.109375" style="2"/>
  </cols>
  <sheetData>
    <row r="3" spans="4:143" outlineLevel="1" x14ac:dyDescent="0.3">
      <c r="D3" s="2">
        <v>1</v>
      </c>
      <c r="E3" s="2">
        <v>2</v>
      </c>
      <c r="F3" s="2">
        <v>3</v>
      </c>
      <c r="G3" s="2">
        <v>4</v>
      </c>
      <c r="H3" s="2">
        <v>5</v>
      </c>
      <c r="I3" s="2">
        <v>6</v>
      </c>
      <c r="J3" s="2">
        <v>7</v>
      </c>
      <c r="K3" s="2">
        <v>8</v>
      </c>
      <c r="L3" s="2">
        <v>9</v>
      </c>
      <c r="M3" s="2">
        <v>10</v>
      </c>
      <c r="N3" s="2">
        <v>11</v>
      </c>
      <c r="O3" s="2">
        <v>12</v>
      </c>
      <c r="P3" s="2">
        <v>13</v>
      </c>
      <c r="Q3" s="2">
        <v>14</v>
      </c>
      <c r="R3" s="2">
        <v>15</v>
      </c>
      <c r="S3" s="2">
        <v>16</v>
      </c>
      <c r="T3" s="2">
        <v>17</v>
      </c>
      <c r="U3" s="2">
        <v>18</v>
      </c>
      <c r="V3" s="2">
        <v>19</v>
      </c>
      <c r="W3" s="2">
        <v>20</v>
      </c>
      <c r="X3" s="2">
        <v>21</v>
      </c>
      <c r="Y3" s="2">
        <v>22</v>
      </c>
      <c r="Z3" s="2">
        <v>23</v>
      </c>
      <c r="AA3" s="2">
        <v>24</v>
      </c>
      <c r="AB3" s="2">
        <v>25</v>
      </c>
      <c r="AC3" s="2">
        <v>26</v>
      </c>
      <c r="AD3" s="2">
        <v>27</v>
      </c>
      <c r="AE3" s="2">
        <v>28</v>
      </c>
      <c r="AF3" s="2">
        <v>29</v>
      </c>
      <c r="AG3" s="2">
        <v>30</v>
      </c>
      <c r="AH3" s="2">
        <v>31</v>
      </c>
      <c r="AI3" s="2">
        <v>32</v>
      </c>
      <c r="AJ3" s="2">
        <v>33</v>
      </c>
      <c r="AK3" s="2">
        <v>34</v>
      </c>
      <c r="AL3" s="2">
        <v>35</v>
      </c>
      <c r="AM3" s="2">
        <v>36</v>
      </c>
      <c r="AN3" s="2">
        <v>37</v>
      </c>
      <c r="AO3" s="2">
        <v>38</v>
      </c>
      <c r="AP3" s="2">
        <v>39</v>
      </c>
      <c r="AQ3" s="2">
        <v>40</v>
      </c>
      <c r="AR3" s="2">
        <v>41</v>
      </c>
      <c r="AS3" s="2">
        <v>42</v>
      </c>
      <c r="AT3" s="2">
        <v>43</v>
      </c>
      <c r="AU3" s="2">
        <v>44</v>
      </c>
      <c r="AV3" s="2">
        <v>45</v>
      </c>
      <c r="AW3" s="2">
        <v>46</v>
      </c>
      <c r="AX3" s="2">
        <v>47</v>
      </c>
      <c r="AY3" s="2">
        <v>48</v>
      </c>
      <c r="AZ3" s="2">
        <v>49</v>
      </c>
      <c r="BA3" s="2">
        <v>50</v>
      </c>
      <c r="BB3" s="2">
        <v>51</v>
      </c>
      <c r="BC3" s="2">
        <v>52</v>
      </c>
      <c r="BD3" s="2">
        <v>53</v>
      </c>
      <c r="BE3" s="2">
        <v>54</v>
      </c>
      <c r="BF3" s="2">
        <v>55</v>
      </c>
      <c r="BG3" s="2">
        <v>56</v>
      </c>
      <c r="BH3" s="2">
        <v>57</v>
      </c>
      <c r="BI3" s="2">
        <v>58</v>
      </c>
      <c r="BJ3" s="2">
        <v>59</v>
      </c>
      <c r="BK3" s="2">
        <v>60</v>
      </c>
      <c r="BL3" s="2">
        <v>61</v>
      </c>
      <c r="BM3" s="2">
        <v>62</v>
      </c>
      <c r="BN3" s="2">
        <v>63</v>
      </c>
      <c r="BO3" s="2">
        <v>64</v>
      </c>
      <c r="BP3" s="2">
        <v>65</v>
      </c>
      <c r="BQ3" s="2">
        <v>66</v>
      </c>
      <c r="BR3" s="2">
        <v>67</v>
      </c>
      <c r="BS3" s="2">
        <v>68</v>
      </c>
      <c r="BT3" s="2">
        <v>69</v>
      </c>
      <c r="BU3" s="2">
        <v>70</v>
      </c>
      <c r="BV3" s="2">
        <v>71</v>
      </c>
      <c r="BW3" s="2">
        <v>72</v>
      </c>
      <c r="BX3" s="2">
        <v>73</v>
      </c>
      <c r="BY3" s="2">
        <v>74</v>
      </c>
      <c r="BZ3" s="2">
        <v>75</v>
      </c>
      <c r="CA3" s="2">
        <v>76</v>
      </c>
      <c r="CB3" s="2">
        <v>77</v>
      </c>
      <c r="CC3" s="2">
        <v>78</v>
      </c>
      <c r="CD3" s="2">
        <v>79</v>
      </c>
      <c r="CE3" s="2">
        <v>80</v>
      </c>
      <c r="CF3" s="2">
        <v>81</v>
      </c>
      <c r="CG3" s="2">
        <v>82</v>
      </c>
      <c r="CH3" s="2">
        <v>83</v>
      </c>
      <c r="CI3" s="2">
        <v>84</v>
      </c>
      <c r="CJ3" s="2">
        <v>85</v>
      </c>
      <c r="CK3" s="2">
        <v>86</v>
      </c>
      <c r="CL3" s="2">
        <v>87</v>
      </c>
      <c r="CM3" s="2">
        <v>88</v>
      </c>
      <c r="CN3" s="2">
        <v>89</v>
      </c>
      <c r="CO3" s="2">
        <v>90</v>
      </c>
      <c r="CP3" s="2">
        <v>91</v>
      </c>
      <c r="CQ3" s="2">
        <v>92</v>
      </c>
      <c r="CR3" s="2">
        <v>93</v>
      </c>
      <c r="CS3" s="2">
        <v>94</v>
      </c>
      <c r="CT3" s="2">
        <v>95</v>
      </c>
      <c r="CU3" s="2">
        <v>96</v>
      </c>
      <c r="CV3" s="2">
        <v>97</v>
      </c>
      <c r="CW3" s="2">
        <v>98</v>
      </c>
      <c r="CX3" s="2">
        <v>99</v>
      </c>
      <c r="CY3" s="2">
        <v>100</v>
      </c>
      <c r="CZ3" s="2">
        <v>101</v>
      </c>
      <c r="DA3" s="2">
        <v>102</v>
      </c>
      <c r="DB3" s="2">
        <v>103</v>
      </c>
      <c r="DC3" s="2">
        <v>104</v>
      </c>
      <c r="DD3" s="2">
        <v>105</v>
      </c>
      <c r="DE3" s="2">
        <v>106</v>
      </c>
      <c r="DF3" s="2">
        <v>107</v>
      </c>
      <c r="DG3" s="2">
        <v>108</v>
      </c>
      <c r="DH3" s="2">
        <v>109</v>
      </c>
      <c r="DI3" s="2">
        <v>110</v>
      </c>
      <c r="DJ3" s="2">
        <v>111</v>
      </c>
      <c r="DK3" s="2">
        <v>112</v>
      </c>
      <c r="DL3" s="2">
        <v>113</v>
      </c>
      <c r="DM3" s="2">
        <v>114</v>
      </c>
      <c r="DN3" s="2">
        <v>115</v>
      </c>
      <c r="DO3" s="2">
        <v>116</v>
      </c>
      <c r="DP3" s="2">
        <v>117</v>
      </c>
      <c r="DQ3" s="2">
        <v>118</v>
      </c>
      <c r="DR3" s="2">
        <v>119</v>
      </c>
      <c r="DS3" s="2">
        <v>120</v>
      </c>
      <c r="DT3" s="2">
        <v>121</v>
      </c>
      <c r="DU3" s="2">
        <v>122</v>
      </c>
      <c r="DV3" s="2">
        <v>123</v>
      </c>
      <c r="DW3" s="2">
        <v>124</v>
      </c>
      <c r="DX3" s="2">
        <v>125</v>
      </c>
      <c r="DY3" s="2">
        <v>126</v>
      </c>
      <c r="DZ3" s="2">
        <v>127</v>
      </c>
      <c r="EA3" s="2">
        <v>128</v>
      </c>
      <c r="EB3" s="2">
        <v>129</v>
      </c>
      <c r="EC3" s="2">
        <v>130</v>
      </c>
      <c r="ED3" s="2">
        <v>131</v>
      </c>
      <c r="EE3" s="2">
        <v>132</v>
      </c>
      <c r="EF3" s="2">
        <v>133</v>
      </c>
      <c r="EG3" s="2">
        <v>134</v>
      </c>
      <c r="EH3" s="2">
        <v>135</v>
      </c>
      <c r="EI3" s="2">
        <v>136</v>
      </c>
      <c r="EJ3" s="2">
        <v>137</v>
      </c>
      <c r="EK3" s="2">
        <v>138</v>
      </c>
      <c r="EL3" s="2">
        <v>139</v>
      </c>
      <c r="EM3" s="2">
        <v>140</v>
      </c>
    </row>
    <row r="4" spans="4:143" x14ac:dyDescent="0.3">
      <c r="E4" s="24" t="s">
        <v>167</v>
      </c>
      <c r="F4" s="24"/>
      <c r="G4" s="26" t="s">
        <v>54</v>
      </c>
      <c r="H4" s="26"/>
      <c r="I4" s="23" t="s">
        <v>53</v>
      </c>
      <c r="J4" s="23"/>
      <c r="K4" s="4"/>
      <c r="L4" s="25" t="s">
        <v>55</v>
      </c>
      <c r="M4" s="25"/>
      <c r="N4" s="25"/>
      <c r="O4" s="25"/>
      <c r="P4" s="25"/>
      <c r="Q4" s="18"/>
      <c r="R4" s="23" t="s">
        <v>58</v>
      </c>
      <c r="S4" s="23"/>
      <c r="T4" s="25" t="s">
        <v>57</v>
      </c>
      <c r="U4" s="25"/>
      <c r="V4" s="25"/>
      <c r="W4" s="25"/>
      <c r="X4" s="25"/>
      <c r="Y4" s="25"/>
      <c r="Z4" s="25"/>
      <c r="AA4" s="25"/>
      <c r="AB4" s="25"/>
      <c r="AC4" s="23" t="s">
        <v>65</v>
      </c>
      <c r="AD4" s="23"/>
      <c r="AK4" s="23" t="s">
        <v>74</v>
      </c>
      <c r="AL4" s="23"/>
      <c r="AP4" s="23" t="s">
        <v>83</v>
      </c>
      <c r="AQ4" s="23"/>
      <c r="BG4" s="23" t="s">
        <v>87</v>
      </c>
      <c r="BH4" s="23"/>
      <c r="CF4" s="23" t="s">
        <v>127</v>
      </c>
      <c r="CG4" s="23"/>
      <c r="CO4" s="23" t="s">
        <v>137</v>
      </c>
      <c r="CP4" s="23"/>
      <c r="CU4" s="23" t="s">
        <v>144</v>
      </c>
      <c r="CV4" s="23"/>
      <c r="DE4" s="23" t="s">
        <v>79</v>
      </c>
      <c r="DF4" s="23"/>
      <c r="DI4" s="23" t="s">
        <v>156</v>
      </c>
      <c r="DJ4" s="23"/>
      <c r="DM4" s="23" t="s">
        <v>160</v>
      </c>
      <c r="DN4" s="23"/>
    </row>
    <row r="5" spans="4:143" x14ac:dyDescent="0.3">
      <c r="D5" s="16" t="s">
        <v>170</v>
      </c>
      <c r="E5" s="11" t="s">
        <v>165</v>
      </c>
      <c r="F5" s="12" t="s">
        <v>166</v>
      </c>
      <c r="G5" s="13" t="s">
        <v>48</v>
      </c>
      <c r="H5" s="14" t="s">
        <v>49</v>
      </c>
      <c r="I5" s="15" t="s">
        <v>46</v>
      </c>
      <c r="J5" s="9" t="s">
        <v>47</v>
      </c>
      <c r="K5" s="5" t="s">
        <v>45</v>
      </c>
      <c r="L5" s="5" t="s">
        <v>44</v>
      </c>
      <c r="M5" s="5" t="s">
        <v>43</v>
      </c>
      <c r="N5" s="5" t="s">
        <v>50</v>
      </c>
      <c r="O5" s="5" t="s">
        <v>52</v>
      </c>
      <c r="P5" s="5" t="s">
        <v>51</v>
      </c>
      <c r="Q5" s="8" t="s">
        <v>174</v>
      </c>
      <c r="R5" s="9" t="s">
        <v>173</v>
      </c>
      <c r="S5" s="9" t="s">
        <v>56</v>
      </c>
      <c r="T5" s="5" t="s">
        <v>59</v>
      </c>
      <c r="U5" s="5" t="s">
        <v>60</v>
      </c>
      <c r="V5" s="5" t="s">
        <v>61</v>
      </c>
      <c r="W5" s="5" t="s">
        <v>176</v>
      </c>
      <c r="X5" s="5" t="s">
        <v>62</v>
      </c>
      <c r="Y5" s="5" t="s">
        <v>63</v>
      </c>
      <c r="Z5" s="5" t="s">
        <v>64</v>
      </c>
      <c r="AA5" s="5" t="s">
        <v>175</v>
      </c>
      <c r="AB5" s="8" t="s">
        <v>177</v>
      </c>
      <c r="AC5" s="9" t="s">
        <v>66</v>
      </c>
      <c r="AD5" s="9" t="s">
        <v>67</v>
      </c>
      <c r="AE5" s="5" t="s">
        <v>68</v>
      </c>
      <c r="AF5" s="5" t="s">
        <v>69</v>
      </c>
      <c r="AG5" s="5" t="s">
        <v>70</v>
      </c>
      <c r="AH5" s="5" t="s">
        <v>71</v>
      </c>
      <c r="AI5" s="5" t="s">
        <v>72</v>
      </c>
      <c r="AJ5" s="8" t="s">
        <v>73</v>
      </c>
      <c r="AK5" s="9" t="s">
        <v>75</v>
      </c>
      <c r="AL5" s="9" t="s">
        <v>76</v>
      </c>
      <c r="AM5" s="5" t="s">
        <v>77</v>
      </c>
      <c r="AN5" s="5" t="s">
        <v>78</v>
      </c>
      <c r="AO5" s="8" t="s">
        <v>86</v>
      </c>
      <c r="AP5" s="9" t="s">
        <v>84</v>
      </c>
      <c r="AQ5" s="9" t="s">
        <v>85</v>
      </c>
      <c r="AR5" s="5" t="s">
        <v>91</v>
      </c>
      <c r="AS5" s="5" t="s">
        <v>92</v>
      </c>
      <c r="AT5" s="5" t="s">
        <v>93</v>
      </c>
      <c r="AU5" s="5" t="s">
        <v>94</v>
      </c>
      <c r="AV5" s="5" t="s">
        <v>95</v>
      </c>
      <c r="AW5" s="5" t="s">
        <v>96</v>
      </c>
      <c r="AX5" s="5" t="s">
        <v>97</v>
      </c>
      <c r="AY5" s="5" t="s">
        <v>98</v>
      </c>
      <c r="AZ5" s="5" t="s">
        <v>99</v>
      </c>
      <c r="BA5" s="5" t="s">
        <v>100</v>
      </c>
      <c r="BB5" s="5" t="s">
        <v>101</v>
      </c>
      <c r="BC5" s="5" t="s">
        <v>102</v>
      </c>
      <c r="BD5" s="5" t="s">
        <v>103</v>
      </c>
      <c r="BE5" s="5" t="s">
        <v>104</v>
      </c>
      <c r="BF5" s="8" t="s">
        <v>90</v>
      </c>
      <c r="BG5" s="9" t="s">
        <v>88</v>
      </c>
      <c r="BH5" s="9" t="s">
        <v>89</v>
      </c>
      <c r="BI5" s="5" t="s">
        <v>105</v>
      </c>
      <c r="BJ5" s="5" t="s">
        <v>106</v>
      </c>
      <c r="BK5" s="5" t="s">
        <v>109</v>
      </c>
      <c r="BL5" s="5" t="s">
        <v>107</v>
      </c>
      <c r="BM5" s="5" t="s">
        <v>108</v>
      </c>
      <c r="BN5" s="5" t="s">
        <v>110</v>
      </c>
      <c r="BO5" s="5" t="s">
        <v>111</v>
      </c>
      <c r="BP5" s="5" t="s">
        <v>112</v>
      </c>
      <c r="BQ5" s="5" t="s">
        <v>113</v>
      </c>
      <c r="BR5" s="5" t="s">
        <v>114</v>
      </c>
      <c r="BS5" s="5" t="s">
        <v>115</v>
      </c>
      <c r="BT5" s="5" t="s">
        <v>116</v>
      </c>
      <c r="BU5" s="5" t="s">
        <v>117</v>
      </c>
      <c r="BV5" s="5" t="s">
        <v>118</v>
      </c>
      <c r="BW5" s="5" t="s">
        <v>119</v>
      </c>
      <c r="BX5" s="5" t="s">
        <v>120</v>
      </c>
      <c r="BY5" s="5" t="s">
        <v>121</v>
      </c>
      <c r="BZ5" s="5" t="s">
        <v>122</v>
      </c>
      <c r="CA5" s="5" t="s">
        <v>126</v>
      </c>
      <c r="CB5" s="5" t="s">
        <v>123</v>
      </c>
      <c r="CC5" s="5" t="s">
        <v>124</v>
      </c>
      <c r="CD5" s="5" t="s">
        <v>125</v>
      </c>
      <c r="CE5" s="8" t="s">
        <v>128</v>
      </c>
      <c r="CF5" s="9" t="s">
        <v>129</v>
      </c>
      <c r="CG5" s="9" t="s">
        <v>130</v>
      </c>
      <c r="CH5" s="5" t="s">
        <v>131</v>
      </c>
      <c r="CI5" s="5" t="s">
        <v>132</v>
      </c>
      <c r="CJ5" s="5" t="s">
        <v>133</v>
      </c>
      <c r="CK5" s="5" t="s">
        <v>134</v>
      </c>
      <c r="CL5" s="5" t="s">
        <v>135</v>
      </c>
      <c r="CM5" s="5" t="s">
        <v>136</v>
      </c>
      <c r="CN5" s="8" t="s">
        <v>138</v>
      </c>
      <c r="CO5" s="9" t="s">
        <v>139</v>
      </c>
      <c r="CP5" s="9" t="s">
        <v>140</v>
      </c>
      <c r="CQ5" s="5" t="s">
        <v>141</v>
      </c>
      <c r="CR5" s="5" t="s">
        <v>142</v>
      </c>
      <c r="CS5" s="5" t="s">
        <v>143</v>
      </c>
      <c r="CT5" s="8" t="s">
        <v>145</v>
      </c>
      <c r="CU5" s="9" t="s">
        <v>146</v>
      </c>
      <c r="CV5" s="9" t="s">
        <v>147</v>
      </c>
      <c r="CW5" s="5" t="s">
        <v>148</v>
      </c>
      <c r="CX5" s="5" t="s">
        <v>149</v>
      </c>
      <c r="CY5" s="5" t="s">
        <v>150</v>
      </c>
      <c r="CZ5" s="5" t="s">
        <v>151</v>
      </c>
      <c r="DA5" s="5" t="s">
        <v>152</v>
      </c>
      <c r="DB5" s="5" t="s">
        <v>153</v>
      </c>
      <c r="DC5" s="5" t="s">
        <v>154</v>
      </c>
      <c r="DD5" s="8" t="s">
        <v>80</v>
      </c>
      <c r="DE5" s="9" t="s">
        <v>81</v>
      </c>
      <c r="DF5" s="9" t="s">
        <v>82</v>
      </c>
      <c r="DG5" s="5" t="s">
        <v>155</v>
      </c>
      <c r="DH5" s="8" t="s">
        <v>157</v>
      </c>
      <c r="DI5" s="9" t="s">
        <v>158</v>
      </c>
      <c r="DJ5" s="9" t="s">
        <v>159</v>
      </c>
      <c r="DK5" s="5" t="s">
        <v>164</v>
      </c>
      <c r="DL5" s="8" t="s">
        <v>161</v>
      </c>
      <c r="DM5" s="9" t="s">
        <v>162</v>
      </c>
      <c r="DN5" s="9" t="s">
        <v>163</v>
      </c>
      <c r="DO5" s="9" t="s">
        <v>221</v>
      </c>
      <c r="DP5" s="9" t="s">
        <v>222</v>
      </c>
      <c r="DQ5" s="9" t="s">
        <v>223</v>
      </c>
      <c r="DR5" s="9" t="s">
        <v>224</v>
      </c>
      <c r="DS5" s="9" t="s">
        <v>225</v>
      </c>
      <c r="DT5" s="9" t="s">
        <v>226</v>
      </c>
      <c r="DU5" s="9" t="s">
        <v>227</v>
      </c>
      <c r="DV5" s="9" t="s">
        <v>228</v>
      </c>
      <c r="DW5" s="9" t="s">
        <v>229</v>
      </c>
      <c r="DX5" s="9" t="s">
        <v>230</v>
      </c>
      <c r="DY5" s="9" t="s">
        <v>231</v>
      </c>
      <c r="DZ5" s="9" t="s">
        <v>232</v>
      </c>
      <c r="EA5" s="9" t="s">
        <v>233</v>
      </c>
      <c r="EB5" s="9" t="s">
        <v>234</v>
      </c>
      <c r="EC5" s="9" t="s">
        <v>235</v>
      </c>
      <c r="ED5" s="9" t="s">
        <v>236</v>
      </c>
      <c r="EE5" s="9" t="s">
        <v>237</v>
      </c>
      <c r="EF5" s="9" t="s">
        <v>238</v>
      </c>
      <c r="EG5" s="9" t="s">
        <v>239</v>
      </c>
      <c r="EH5" s="9" t="s">
        <v>240</v>
      </c>
      <c r="EI5" s="9" t="s">
        <v>241</v>
      </c>
      <c r="EJ5" s="9" t="s">
        <v>242</v>
      </c>
      <c r="EK5" s="9" t="s">
        <v>243</v>
      </c>
      <c r="EL5" s="9" t="s">
        <v>244</v>
      </c>
      <c r="EM5" s="9" t="s">
        <v>245</v>
      </c>
    </row>
    <row r="6" spans="4:143" x14ac:dyDescent="0.3">
      <c r="D6" s="17">
        <v>2</v>
      </c>
      <c r="E6" s="6">
        <v>44452.372048611112</v>
      </c>
      <c r="F6" s="7" t="s">
        <v>182</v>
      </c>
      <c r="G6" s="6"/>
      <c r="H6" s="7"/>
      <c r="I6" s="6">
        <v>44452.381076388891</v>
      </c>
      <c r="J6" s="7" t="s">
        <v>182</v>
      </c>
      <c r="K6" s="5" t="s">
        <v>168</v>
      </c>
      <c r="L6" s="5" t="s">
        <v>186</v>
      </c>
      <c r="M6" s="5" t="s">
        <v>183</v>
      </c>
      <c r="N6" s="5" t="s">
        <v>184</v>
      </c>
      <c r="O6" s="5" t="s">
        <v>185</v>
      </c>
      <c r="P6" s="5" t="s">
        <v>187</v>
      </c>
      <c r="Q6" s="8" t="s">
        <v>188</v>
      </c>
      <c r="R6" s="6">
        <v>44452.374131944445</v>
      </c>
      <c r="S6" s="7" t="s">
        <v>182</v>
      </c>
      <c r="T6" s="5"/>
      <c r="U6" s="5"/>
      <c r="V6" s="5"/>
      <c r="W6" s="5"/>
      <c r="X6" s="5"/>
      <c r="Y6" s="5"/>
      <c r="Z6" s="5"/>
      <c r="AA6" s="5"/>
      <c r="AB6" s="7"/>
      <c r="AC6" s="6"/>
      <c r="AD6" s="7"/>
      <c r="AE6" s="5"/>
      <c r="AF6" s="5"/>
      <c r="AG6" s="5"/>
      <c r="AH6" s="5"/>
      <c r="AI6" s="5"/>
      <c r="AJ6" s="7"/>
      <c r="AK6" s="6"/>
      <c r="AL6" s="7"/>
      <c r="AM6" s="5"/>
      <c r="AN6" s="5"/>
      <c r="AO6" s="7"/>
      <c r="AP6" s="6"/>
      <c r="AQ6" s="7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7"/>
      <c r="BG6" s="6"/>
      <c r="BH6" s="7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7"/>
      <c r="CF6" s="6"/>
      <c r="CG6" s="7"/>
      <c r="CH6" s="5"/>
      <c r="CI6" s="5"/>
      <c r="CJ6" s="5"/>
      <c r="CK6" s="5"/>
      <c r="CL6" s="5"/>
      <c r="CM6" s="5"/>
      <c r="CN6" s="7"/>
      <c r="CO6" s="6"/>
      <c r="CP6" s="7"/>
      <c r="CQ6" s="5"/>
      <c r="CR6" s="5"/>
      <c r="CS6" s="5"/>
      <c r="CT6" s="7"/>
      <c r="CU6" s="6"/>
      <c r="CV6" s="7"/>
      <c r="CW6" s="5"/>
      <c r="CX6" s="5"/>
      <c r="CY6" s="5"/>
      <c r="CZ6" s="5"/>
      <c r="DA6" s="5"/>
      <c r="DB6" s="5"/>
      <c r="DC6" s="5"/>
      <c r="DD6" s="7"/>
      <c r="DE6" s="6"/>
      <c r="DF6" s="7"/>
      <c r="DG6" s="5"/>
      <c r="DH6" s="7"/>
      <c r="DI6" s="6"/>
      <c r="DJ6" s="7"/>
      <c r="DK6" s="5"/>
      <c r="DL6" s="7"/>
      <c r="DM6" s="6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>
        <f>IFERROR(MATCH(FALSE,Register[[#This Row],[Study Details Complete]:[SIV Complete]],0),1)</f>
        <v>1</v>
      </c>
    </row>
    <row r="7" spans="4:143" x14ac:dyDescent="0.3">
      <c r="D7" s="17">
        <v>2</v>
      </c>
      <c r="E7" s="6">
        <v>44452.374467592592</v>
      </c>
      <c r="F7" s="7" t="s">
        <v>182</v>
      </c>
      <c r="G7" s="6"/>
      <c r="H7" s="7"/>
      <c r="I7" s="6">
        <v>44452.391064814816</v>
      </c>
      <c r="J7" s="7" t="s">
        <v>182</v>
      </c>
      <c r="K7" s="5" t="s">
        <v>168</v>
      </c>
      <c r="L7" s="5" t="s">
        <v>189</v>
      </c>
      <c r="M7" s="5" t="s">
        <v>190</v>
      </c>
      <c r="N7" s="5" t="s">
        <v>191</v>
      </c>
      <c r="O7" s="5" t="s">
        <v>192</v>
      </c>
      <c r="P7" s="5" t="s">
        <v>193</v>
      </c>
      <c r="Q7" s="8" t="s">
        <v>194</v>
      </c>
      <c r="R7" s="6">
        <v>44452.374849537038</v>
      </c>
      <c r="S7" s="7" t="s">
        <v>182</v>
      </c>
      <c r="T7" s="5"/>
      <c r="U7" s="5"/>
      <c r="V7" s="5"/>
      <c r="W7" s="5"/>
      <c r="X7" s="5"/>
      <c r="Y7" s="5"/>
      <c r="Z7" s="5"/>
      <c r="AA7" s="5"/>
      <c r="AB7" s="7"/>
      <c r="AC7" s="6"/>
      <c r="AD7" s="7"/>
      <c r="AE7" s="5"/>
      <c r="AF7" s="5"/>
      <c r="AG7" s="5"/>
      <c r="AH7" s="5"/>
      <c r="AI7" s="5"/>
      <c r="AJ7" s="7"/>
      <c r="AK7" s="6"/>
      <c r="AL7" s="7"/>
      <c r="AM7" s="5"/>
      <c r="AN7" s="5"/>
      <c r="AO7" s="7"/>
      <c r="AP7" s="6"/>
      <c r="AQ7" s="7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7"/>
      <c r="BG7" s="6"/>
      <c r="BH7" s="7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7"/>
      <c r="CF7" s="6"/>
      <c r="CG7" s="7"/>
      <c r="CH7" s="5"/>
      <c r="CI7" s="5"/>
      <c r="CJ7" s="5"/>
      <c r="CK7" s="5"/>
      <c r="CL7" s="5"/>
      <c r="CM7" s="5"/>
      <c r="CN7" s="7"/>
      <c r="CO7" s="6"/>
      <c r="CP7" s="7"/>
      <c r="CQ7" s="5"/>
      <c r="CR7" s="5"/>
      <c r="CS7" s="5"/>
      <c r="CT7" s="7"/>
      <c r="CU7" s="6"/>
      <c r="CV7" s="7"/>
      <c r="CW7" s="5"/>
      <c r="CX7" s="5"/>
      <c r="CY7" s="5"/>
      <c r="CZ7" s="5"/>
      <c r="DA7" s="5"/>
      <c r="DB7" s="5"/>
      <c r="DC7" s="5"/>
      <c r="DD7" s="7"/>
      <c r="DE7" s="6"/>
      <c r="DF7" s="7"/>
      <c r="DG7" s="5"/>
      <c r="DH7" s="7"/>
      <c r="DI7" s="6"/>
      <c r="DJ7" s="7"/>
      <c r="DK7" s="5"/>
      <c r="DL7" s="7"/>
      <c r="DM7" s="6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>
        <f>IFERROR(MATCH(FALSE,Register[[#This Row],[Study Details Complete]:[SIV Complete]],0),1)</f>
        <v>1</v>
      </c>
    </row>
    <row r="8" spans="4:143" x14ac:dyDescent="0.3">
      <c r="D8" s="17">
        <v>3</v>
      </c>
      <c r="E8" s="6">
        <v>44452.375509259262</v>
      </c>
      <c r="F8" s="7" t="s">
        <v>182</v>
      </c>
      <c r="G8" s="6">
        <v>44452.377384259256</v>
      </c>
      <c r="H8" s="7" t="s">
        <v>182</v>
      </c>
      <c r="I8" s="6">
        <v>44452.381342592591</v>
      </c>
      <c r="J8" s="7" t="s">
        <v>182</v>
      </c>
      <c r="K8" s="5" t="s">
        <v>169</v>
      </c>
      <c r="L8" s="5" t="s">
        <v>195</v>
      </c>
      <c r="M8" s="5" t="s">
        <v>196</v>
      </c>
      <c r="N8" s="5" t="s">
        <v>179</v>
      </c>
      <c r="O8" s="5" t="s">
        <v>197</v>
      </c>
      <c r="P8" s="5"/>
      <c r="Q8" s="8"/>
      <c r="R8" s="6">
        <v>44452.38113425926</v>
      </c>
      <c r="S8" s="7" t="s">
        <v>182</v>
      </c>
      <c r="T8" s="21">
        <v>43840</v>
      </c>
      <c r="U8" s="5" t="s">
        <v>204</v>
      </c>
      <c r="V8" s="5" t="s">
        <v>205</v>
      </c>
      <c r="W8" s="21">
        <v>43850</v>
      </c>
      <c r="X8" s="5"/>
      <c r="Y8" s="5"/>
      <c r="Z8" s="5"/>
      <c r="AA8" s="5"/>
      <c r="AB8" s="7"/>
      <c r="AC8" s="6">
        <v>44452.37909722222</v>
      </c>
      <c r="AD8" s="7" t="s">
        <v>182</v>
      </c>
      <c r="AE8" s="5"/>
      <c r="AF8" s="5"/>
      <c r="AG8" s="5"/>
      <c r="AH8" s="5"/>
      <c r="AI8" s="5"/>
      <c r="AJ8" s="7"/>
      <c r="AK8" s="6"/>
      <c r="AL8" s="7"/>
      <c r="AM8" s="5"/>
      <c r="AN8" s="5"/>
      <c r="AO8" s="7"/>
      <c r="AP8" s="6"/>
      <c r="AQ8" s="7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7"/>
      <c r="BG8" s="6"/>
      <c r="BH8" s="7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7"/>
      <c r="CF8" s="6"/>
      <c r="CG8" s="7"/>
      <c r="CH8" s="5"/>
      <c r="CI8" s="5"/>
      <c r="CJ8" s="5"/>
      <c r="CK8" s="5"/>
      <c r="CL8" s="5"/>
      <c r="CM8" s="5"/>
      <c r="CN8" s="7"/>
      <c r="CO8" s="6"/>
      <c r="CP8" s="7"/>
      <c r="CQ8" s="5"/>
      <c r="CR8" s="5"/>
      <c r="CS8" s="5"/>
      <c r="CT8" s="7"/>
      <c r="CU8" s="6"/>
      <c r="CV8" s="7"/>
      <c r="CW8" s="5"/>
      <c r="CX8" s="5"/>
      <c r="CY8" s="5"/>
      <c r="CZ8" s="5"/>
      <c r="DA8" s="5"/>
      <c r="DB8" s="5"/>
      <c r="DC8" s="5"/>
      <c r="DD8" s="7"/>
      <c r="DE8" s="6"/>
      <c r="DF8" s="7"/>
      <c r="DG8" s="5"/>
      <c r="DH8" s="7"/>
      <c r="DI8" s="6"/>
      <c r="DJ8" s="7"/>
      <c r="DK8" s="5"/>
      <c r="DL8" s="7"/>
      <c r="DM8" s="6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>
        <f>IFERROR(MATCH(FALSE,Register[[#This Row],[Study Details Complete]:[SIV Complete]],0),1)</f>
        <v>1</v>
      </c>
    </row>
    <row r="9" spans="4:143" x14ac:dyDescent="0.3">
      <c r="D9" s="17">
        <v>4</v>
      </c>
      <c r="E9" s="6">
        <v>44452.376064814816</v>
      </c>
      <c r="F9" s="7" t="s">
        <v>182</v>
      </c>
      <c r="G9" s="6"/>
      <c r="H9" s="7"/>
      <c r="I9" s="6">
        <v>44452.391041666669</v>
      </c>
      <c r="J9" s="7" t="s">
        <v>182</v>
      </c>
      <c r="K9" s="5" t="s">
        <v>168</v>
      </c>
      <c r="L9" s="5" t="s">
        <v>198</v>
      </c>
      <c r="M9" s="5" t="s">
        <v>199</v>
      </c>
      <c r="N9" s="5" t="s">
        <v>179</v>
      </c>
      <c r="O9" s="5" t="s">
        <v>197</v>
      </c>
      <c r="P9" s="5" t="s">
        <v>200</v>
      </c>
      <c r="Q9" s="8"/>
      <c r="R9" s="6">
        <v>44452.376261574071</v>
      </c>
      <c r="S9" s="7" t="s">
        <v>182</v>
      </c>
      <c r="T9" s="5"/>
      <c r="U9" s="5"/>
      <c r="V9" s="5"/>
      <c r="W9" s="5"/>
      <c r="X9" s="5"/>
      <c r="Y9" s="5"/>
      <c r="Z9" s="5"/>
      <c r="AA9" s="5"/>
      <c r="AB9" s="7"/>
      <c r="AC9" s="6"/>
      <c r="AD9" s="7"/>
      <c r="AE9" s="5"/>
      <c r="AF9" s="5"/>
      <c r="AG9" s="5"/>
      <c r="AH9" s="5"/>
      <c r="AI9" s="5"/>
      <c r="AJ9" s="7"/>
      <c r="AK9" s="6"/>
      <c r="AL9" s="7"/>
      <c r="AM9" s="5"/>
      <c r="AN9" s="5"/>
      <c r="AO9" s="7"/>
      <c r="AP9" s="6"/>
      <c r="AQ9" s="7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7"/>
      <c r="BG9" s="6"/>
      <c r="BH9" s="7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7"/>
      <c r="CF9" s="6"/>
      <c r="CG9" s="7"/>
      <c r="CH9" s="5"/>
      <c r="CI9" s="5"/>
      <c r="CJ9" s="5"/>
      <c r="CK9" s="5"/>
      <c r="CL9" s="5"/>
      <c r="CM9" s="5"/>
      <c r="CN9" s="7"/>
      <c r="CO9" s="6"/>
      <c r="CP9" s="7"/>
      <c r="CQ9" s="5"/>
      <c r="CR9" s="5"/>
      <c r="CS9" s="5"/>
      <c r="CT9" s="7"/>
      <c r="CU9" s="6"/>
      <c r="CV9" s="7"/>
      <c r="CW9" s="5"/>
      <c r="CX9" s="5"/>
      <c r="CY9" s="5"/>
      <c r="CZ9" s="5"/>
      <c r="DA9" s="5"/>
      <c r="DB9" s="5"/>
      <c r="DC9" s="5"/>
      <c r="DD9" s="7"/>
      <c r="DE9" s="6"/>
      <c r="DF9" s="7"/>
      <c r="DG9" s="5"/>
      <c r="DH9" s="7"/>
      <c r="DI9" s="6"/>
      <c r="DJ9" s="7"/>
      <c r="DK9" s="5"/>
      <c r="DL9" s="7"/>
      <c r="DM9" s="6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>
        <f>IFERROR(MATCH(FALSE,Register[[#This Row],[Study Details Complete]:[SIV Complete]],0),1)</f>
        <v>1</v>
      </c>
    </row>
    <row r="10" spans="4:143" x14ac:dyDescent="0.3">
      <c r="D10" s="17">
        <v>5</v>
      </c>
      <c r="E10" s="6">
        <v>44452.376736111109</v>
      </c>
      <c r="F10" s="7" t="s">
        <v>182</v>
      </c>
      <c r="G10" s="6"/>
      <c r="H10" s="7"/>
      <c r="I10" s="6">
        <v>44452.391030092593</v>
      </c>
      <c r="J10" s="7" t="s">
        <v>182</v>
      </c>
      <c r="K10" s="5" t="s">
        <v>168</v>
      </c>
      <c r="L10" s="5" t="s">
        <v>201</v>
      </c>
      <c r="M10" s="5" t="s">
        <v>202</v>
      </c>
      <c r="N10" s="5" t="s">
        <v>179</v>
      </c>
      <c r="O10" s="5"/>
      <c r="P10" s="5"/>
      <c r="Q10" s="8"/>
      <c r="R10" s="6">
        <v>44452.376736111109</v>
      </c>
      <c r="S10" s="7" t="s">
        <v>182</v>
      </c>
      <c r="T10" s="5"/>
      <c r="U10" s="5"/>
      <c r="V10" s="5"/>
      <c r="W10" s="5"/>
      <c r="X10" s="5"/>
      <c r="Y10" s="5"/>
      <c r="Z10" s="5"/>
      <c r="AA10" s="5"/>
      <c r="AB10" s="7"/>
      <c r="AC10" s="6"/>
      <c r="AD10" s="7"/>
      <c r="AE10" s="5"/>
      <c r="AF10" s="5"/>
      <c r="AG10" s="5"/>
      <c r="AH10" s="5"/>
      <c r="AI10" s="5"/>
      <c r="AJ10" s="7"/>
      <c r="AK10" s="6"/>
      <c r="AL10" s="7"/>
      <c r="AM10" s="5"/>
      <c r="AN10" s="5"/>
      <c r="AO10" s="7"/>
      <c r="AP10" s="6"/>
      <c r="AQ10" s="7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7"/>
      <c r="BG10" s="6"/>
      <c r="BH10" s="7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7"/>
      <c r="CF10" s="6"/>
      <c r="CG10" s="7"/>
      <c r="CH10" s="5"/>
      <c r="CI10" s="5"/>
      <c r="CJ10" s="5"/>
      <c r="CK10" s="5"/>
      <c r="CL10" s="5"/>
      <c r="CM10" s="5"/>
      <c r="CN10" s="7"/>
      <c r="CO10" s="6"/>
      <c r="CP10" s="7"/>
      <c r="CQ10" s="5"/>
      <c r="CR10" s="5"/>
      <c r="CS10" s="5"/>
      <c r="CT10" s="7"/>
      <c r="CU10" s="6"/>
      <c r="CV10" s="7"/>
      <c r="CW10" s="5"/>
      <c r="CX10" s="5"/>
      <c r="CY10" s="5"/>
      <c r="CZ10" s="5"/>
      <c r="DA10" s="5"/>
      <c r="DB10" s="5"/>
      <c r="DC10" s="5"/>
      <c r="DD10" s="7"/>
      <c r="DE10" s="6"/>
      <c r="DF10" s="7"/>
      <c r="DG10" s="5"/>
      <c r="DH10" s="7"/>
      <c r="DI10" s="6"/>
      <c r="DJ10" s="7"/>
      <c r="DK10" s="5"/>
      <c r="DL10" s="7"/>
      <c r="DM10" s="6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>
        <f>IFERROR(MATCH(FALSE,Register[[#This Row],[Study Details Complete]:[SIV Complete]],0),1)</f>
        <v>1</v>
      </c>
    </row>
    <row r="11" spans="4:143" x14ac:dyDescent="0.3">
      <c r="D11" s="17">
        <v>6</v>
      </c>
      <c r="E11" s="6">
        <v>44452.377106481479</v>
      </c>
      <c r="F11" s="7" t="s">
        <v>182</v>
      </c>
      <c r="G11" s="6"/>
      <c r="H11" s="7"/>
      <c r="I11" s="6">
        <v>44452.391030092593</v>
      </c>
      <c r="J11" s="7" t="s">
        <v>182</v>
      </c>
      <c r="K11" s="5" t="s">
        <v>168</v>
      </c>
      <c r="L11" s="5" t="s">
        <v>201</v>
      </c>
      <c r="M11" s="5" t="s">
        <v>203</v>
      </c>
      <c r="N11" s="5" t="s">
        <v>171</v>
      </c>
      <c r="O11" s="5"/>
      <c r="P11" s="5"/>
      <c r="Q11" s="8"/>
      <c r="R11" s="6">
        <v>44452.377106481479</v>
      </c>
      <c r="S11" s="7" t="s">
        <v>182</v>
      </c>
      <c r="T11" s="5"/>
      <c r="U11" s="5"/>
      <c r="V11" s="5"/>
      <c r="W11" s="5"/>
      <c r="X11" s="5"/>
      <c r="Y11" s="5"/>
      <c r="Z11" s="5"/>
      <c r="AA11" s="5"/>
      <c r="AB11" s="7"/>
      <c r="AC11" s="6"/>
      <c r="AD11" s="7"/>
      <c r="AE11" s="5"/>
      <c r="AF11" s="5"/>
      <c r="AG11" s="5"/>
      <c r="AH11" s="5"/>
      <c r="AI11" s="5"/>
      <c r="AJ11" s="7"/>
      <c r="AK11" s="6"/>
      <c r="AL11" s="7"/>
      <c r="AM11" s="5"/>
      <c r="AN11" s="5"/>
      <c r="AO11" s="7"/>
      <c r="AP11" s="6"/>
      <c r="AQ11" s="7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7"/>
      <c r="BG11" s="6"/>
      <c r="BH11" s="7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7"/>
      <c r="CF11" s="6"/>
      <c r="CG11" s="7"/>
      <c r="CH11" s="5"/>
      <c r="CI11" s="5"/>
      <c r="CJ11" s="5"/>
      <c r="CK11" s="5"/>
      <c r="CL11" s="5"/>
      <c r="CM11" s="5"/>
      <c r="CN11" s="7"/>
      <c r="CO11" s="6"/>
      <c r="CP11" s="7"/>
      <c r="CQ11" s="5"/>
      <c r="CR11" s="5"/>
      <c r="CS11" s="5"/>
      <c r="CT11" s="7"/>
      <c r="CU11" s="6"/>
      <c r="CV11" s="7"/>
      <c r="CW11" s="5"/>
      <c r="CX11" s="5"/>
      <c r="CY11" s="5"/>
      <c r="CZ11" s="5"/>
      <c r="DA11" s="5"/>
      <c r="DB11" s="5"/>
      <c r="DC11" s="5"/>
      <c r="DD11" s="7"/>
      <c r="DE11" s="6"/>
      <c r="DF11" s="7"/>
      <c r="DG11" s="5"/>
      <c r="DH11" s="7"/>
      <c r="DI11" s="6"/>
      <c r="DJ11" s="7"/>
      <c r="DK11" s="5"/>
      <c r="DL11" s="7"/>
      <c r="DM11" s="6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>
        <f>IFERROR(MATCH(FALSE,Register[[#This Row],[Study Details Complete]:[SIV Complete]],0),1)</f>
        <v>1</v>
      </c>
    </row>
    <row r="12" spans="4:143" ht="43.2" x14ac:dyDescent="0.3">
      <c r="D12" s="17">
        <v>7</v>
      </c>
      <c r="E12" s="6">
        <v>44452.381851851853</v>
      </c>
      <c r="F12" s="7" t="s">
        <v>182</v>
      </c>
      <c r="G12" s="6"/>
      <c r="H12" s="7"/>
      <c r="I12" s="6">
        <v>44459.059328703705</v>
      </c>
      <c r="J12" s="7" t="s">
        <v>182</v>
      </c>
      <c r="K12" s="5" t="s">
        <v>168</v>
      </c>
      <c r="L12" s="5" t="s">
        <v>206</v>
      </c>
      <c r="M12" s="5" t="s">
        <v>207</v>
      </c>
      <c r="N12" s="5" t="s">
        <v>172</v>
      </c>
      <c r="O12" s="5" t="s">
        <v>208</v>
      </c>
      <c r="P12" s="5" t="s">
        <v>209</v>
      </c>
      <c r="Q12" s="8" t="s">
        <v>210</v>
      </c>
      <c r="R12" s="6">
        <v>44459.059236111112</v>
      </c>
      <c r="S12" s="7" t="s">
        <v>182</v>
      </c>
      <c r="T12" s="21">
        <v>43840</v>
      </c>
      <c r="U12" s="21">
        <v>43842</v>
      </c>
      <c r="V12" s="21">
        <v>43863</v>
      </c>
      <c r="W12" s="21">
        <v>43891</v>
      </c>
      <c r="X12" s="21">
        <v>43921</v>
      </c>
      <c r="Y12" s="21">
        <v>43845</v>
      </c>
      <c r="Z12" s="21">
        <v>43921</v>
      </c>
      <c r="AA12" s="5" t="s">
        <v>246</v>
      </c>
      <c r="AB12" s="7" t="s">
        <v>211</v>
      </c>
      <c r="AC12" s="6">
        <v>44458.89638888889</v>
      </c>
      <c r="AD12" s="7" t="s">
        <v>182</v>
      </c>
      <c r="AE12" s="21">
        <v>43910</v>
      </c>
      <c r="AF12" s="5" t="s">
        <v>178</v>
      </c>
      <c r="AG12" s="21">
        <v>43917</v>
      </c>
      <c r="AH12" s="5" t="s">
        <v>180</v>
      </c>
      <c r="AI12" s="21">
        <v>43922</v>
      </c>
      <c r="AJ12" s="7" t="s">
        <v>212</v>
      </c>
      <c r="AK12" s="6">
        <v>44452.384421296294</v>
      </c>
      <c r="AL12" s="7" t="s">
        <v>182</v>
      </c>
      <c r="AM12" s="21">
        <v>43926</v>
      </c>
      <c r="AN12" s="5" t="s">
        <v>27</v>
      </c>
      <c r="AO12" s="7" t="s">
        <v>213</v>
      </c>
      <c r="AP12" s="6">
        <v>44452.38484953704</v>
      </c>
      <c r="AQ12" s="7" t="s">
        <v>182</v>
      </c>
      <c r="AR12" s="21">
        <v>43983</v>
      </c>
      <c r="AS12" s="5"/>
      <c r="AT12" s="5"/>
      <c r="AU12" s="21">
        <v>44012</v>
      </c>
      <c r="AV12" s="5" t="s">
        <v>247</v>
      </c>
      <c r="AW12" s="21">
        <v>43831</v>
      </c>
      <c r="AX12" s="21">
        <v>43856</v>
      </c>
      <c r="AY12" s="21">
        <v>43850</v>
      </c>
      <c r="AZ12" s="21">
        <v>43854</v>
      </c>
      <c r="BA12" s="5"/>
      <c r="BB12" s="5"/>
      <c r="BC12" s="5"/>
      <c r="BD12" s="21"/>
      <c r="BE12" s="5"/>
      <c r="BF12" s="7" t="s">
        <v>215</v>
      </c>
      <c r="BG12" s="6">
        <v>44459.039594907408</v>
      </c>
      <c r="BH12" s="7" t="s">
        <v>182</v>
      </c>
      <c r="BI12" s="21">
        <v>43983</v>
      </c>
      <c r="BJ12" s="21">
        <v>43956</v>
      </c>
      <c r="BK12" s="21">
        <v>44083</v>
      </c>
      <c r="BL12" s="5"/>
      <c r="BM12" s="5"/>
      <c r="BN12" s="21">
        <v>44044</v>
      </c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22" t="s">
        <v>216</v>
      </c>
      <c r="CF12" s="6">
        <v>44459.040000000001</v>
      </c>
      <c r="CG12" s="7" t="s">
        <v>182</v>
      </c>
      <c r="CH12" s="21">
        <v>44044</v>
      </c>
      <c r="CI12" s="21"/>
      <c r="CJ12" s="21">
        <v>44075</v>
      </c>
      <c r="CK12" s="21">
        <v>44079</v>
      </c>
      <c r="CL12" s="21">
        <v>44044</v>
      </c>
      <c r="CM12" s="21">
        <v>44104</v>
      </c>
      <c r="CN12" s="7" t="s">
        <v>217</v>
      </c>
      <c r="CO12" s="6">
        <v>44459.043402777781</v>
      </c>
      <c r="CP12" s="7" t="s">
        <v>182</v>
      </c>
      <c r="CQ12" s="21">
        <v>44136</v>
      </c>
      <c r="CR12" s="21">
        <v>44136</v>
      </c>
      <c r="CS12" s="21" t="s">
        <v>248</v>
      </c>
      <c r="CT12" s="7" t="s">
        <v>220</v>
      </c>
      <c r="CU12" s="6">
        <v>44459.046053240738</v>
      </c>
      <c r="CV12" s="7" t="s">
        <v>182</v>
      </c>
      <c r="CW12" s="21">
        <v>43952</v>
      </c>
      <c r="CX12" s="21">
        <v>43954</v>
      </c>
      <c r="CY12" s="5" t="s">
        <v>204</v>
      </c>
      <c r="CZ12" s="21">
        <v>43957</v>
      </c>
      <c r="DA12" s="21">
        <v>43591</v>
      </c>
      <c r="DB12" s="21">
        <v>43958</v>
      </c>
      <c r="DC12" s="21"/>
      <c r="DD12" s="7" t="s">
        <v>214</v>
      </c>
      <c r="DE12" s="6">
        <v>44459.045266203706</v>
      </c>
      <c r="DF12" s="7" t="s">
        <v>182</v>
      </c>
      <c r="DG12" s="21"/>
      <c r="DH12" s="7" t="s">
        <v>218</v>
      </c>
      <c r="DI12" s="6">
        <v>44459.04519675926</v>
      </c>
      <c r="DJ12" s="7" t="s">
        <v>182</v>
      </c>
      <c r="DK12" s="21"/>
      <c r="DL12" s="7" t="s">
        <v>219</v>
      </c>
      <c r="DM12" s="6">
        <v>44459.043877314813</v>
      </c>
      <c r="DN12" s="7" t="s">
        <v>182</v>
      </c>
      <c r="DO12" s="7" t="b">
        <v>1</v>
      </c>
      <c r="DP12" s="7" t="b">
        <v>1</v>
      </c>
      <c r="DQ12" s="7" t="b">
        <v>1</v>
      </c>
      <c r="DR12" s="7" t="b">
        <v>1</v>
      </c>
      <c r="DS12" s="7" t="b">
        <v>1</v>
      </c>
      <c r="DT12" s="7" t="b">
        <v>1</v>
      </c>
      <c r="DU12" s="7" t="b">
        <v>1</v>
      </c>
      <c r="DV12" s="7" t="b">
        <v>1</v>
      </c>
      <c r="DW12" s="7"/>
      <c r="DX12" s="7"/>
      <c r="DY12" s="7" t="b">
        <v>1</v>
      </c>
      <c r="DZ12" s="7"/>
      <c r="EA12" s="7"/>
      <c r="EB12" s="7"/>
      <c r="EC12" s="7"/>
      <c r="ED12" s="7"/>
      <c r="EE12" s="7"/>
      <c r="EF12" s="7" t="b">
        <v>1</v>
      </c>
      <c r="EG12" s="7" t="b">
        <v>1</v>
      </c>
      <c r="EH12" s="7" t="b">
        <v>1</v>
      </c>
      <c r="EI12" s="7" t="b">
        <v>0</v>
      </c>
      <c r="EJ12" s="7" t="b">
        <v>0</v>
      </c>
      <c r="EK12" s="7" t="b">
        <v>0</v>
      </c>
      <c r="EL12" s="7" t="b">
        <v>0</v>
      </c>
      <c r="EM12" s="7">
        <f>IFERROR(MATCH(FALSE,Register[[#This Row],[Study Details Complete]:[SIV Complete]],0),1)</f>
        <v>21</v>
      </c>
    </row>
    <row r="13" spans="4:143" x14ac:dyDescent="0.3"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</row>
    <row r="14" spans="4:143" x14ac:dyDescent="0.3">
      <c r="K14" s="20"/>
      <c r="L14" s="2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</row>
    <row r="15" spans="4:143" x14ac:dyDescent="0.3">
      <c r="K15" s="20"/>
      <c r="L15" s="2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</row>
    <row r="16" spans="4:143" x14ac:dyDescent="0.3">
      <c r="K16" s="19"/>
      <c r="L16" s="19"/>
    </row>
    <row r="17" spans="11:12" x14ac:dyDescent="0.3">
      <c r="K17" s="19"/>
      <c r="L17" s="19"/>
    </row>
  </sheetData>
  <dataConsolidate/>
  <mergeCells count="16">
    <mergeCell ref="BG4:BH4"/>
    <mergeCell ref="CF4:CG4"/>
    <mergeCell ref="I4:J4"/>
    <mergeCell ref="G4:H4"/>
    <mergeCell ref="R4:S4"/>
    <mergeCell ref="L4:P4"/>
    <mergeCell ref="E4:F4"/>
    <mergeCell ref="AC4:AD4"/>
    <mergeCell ref="T4:AB4"/>
    <mergeCell ref="AK4:AL4"/>
    <mergeCell ref="AP4:AQ4"/>
    <mergeCell ref="CO4:CP4"/>
    <mergeCell ref="CU4:CV4"/>
    <mergeCell ref="DE4:DF4"/>
    <mergeCell ref="DI4:DJ4"/>
    <mergeCell ref="DM4:DN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E5426-495C-4FF0-BB95-062C9CF6C57F}">
  <sheetPr codeName="Sheet5"/>
  <dimension ref="A1"/>
  <sheetViews>
    <sheetView workbookViewId="0">
      <selection activeCell="U27" sqref="U27"/>
    </sheetView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914B2F-4B7F-426B-A6A6-7E4999EC86D9}">
  <sheetPr codeName="Sheet4"/>
  <dimension ref="B2:K17"/>
  <sheetViews>
    <sheetView workbookViewId="0">
      <selection activeCell="D8" sqref="D8"/>
    </sheetView>
  </sheetViews>
  <sheetFormatPr defaultRowHeight="14.4" x14ac:dyDescent="0.3"/>
  <cols>
    <col min="2" max="2" width="19" bestFit="1" customWidth="1"/>
    <col min="4" max="4" width="23.44140625" bestFit="1" customWidth="1"/>
    <col min="6" max="6" width="21" bestFit="1" customWidth="1"/>
    <col min="7" max="7" width="14.5546875" bestFit="1" customWidth="1"/>
    <col min="9" max="9" width="41.109375" bestFit="1" customWidth="1"/>
    <col min="10" max="10" width="26.5546875" bestFit="1" customWidth="1"/>
    <col min="12" max="12" width="8.44140625" bestFit="1" customWidth="1"/>
  </cols>
  <sheetData>
    <row r="2" spans="2:11" x14ac:dyDescent="0.3">
      <c r="B2" s="1" t="s">
        <v>7</v>
      </c>
      <c r="D2" s="1" t="s">
        <v>1</v>
      </c>
      <c r="F2" s="1" t="s">
        <v>12</v>
      </c>
      <c r="G2" s="1" t="s">
        <v>13</v>
      </c>
      <c r="I2" s="1" t="s">
        <v>0</v>
      </c>
      <c r="J2" s="1" t="s">
        <v>15</v>
      </c>
      <c r="K2" s="1" t="s">
        <v>26</v>
      </c>
    </row>
    <row r="3" spans="2:11" x14ac:dyDescent="0.3">
      <c r="B3" t="s">
        <v>8</v>
      </c>
      <c r="D3" t="s">
        <v>4</v>
      </c>
      <c r="F3" t="s">
        <v>28</v>
      </c>
      <c r="G3" t="s">
        <v>37</v>
      </c>
      <c r="I3" t="s">
        <v>14</v>
      </c>
      <c r="J3" t="s">
        <v>16</v>
      </c>
      <c r="K3" t="s">
        <v>29</v>
      </c>
    </row>
    <row r="4" spans="2:11" x14ac:dyDescent="0.3">
      <c r="B4" t="s">
        <v>24</v>
      </c>
      <c r="D4" t="s">
        <v>5</v>
      </c>
      <c r="F4" t="s">
        <v>29</v>
      </c>
      <c r="G4" t="s">
        <v>35</v>
      </c>
      <c r="I4" t="s">
        <v>18</v>
      </c>
      <c r="J4" t="s">
        <v>17</v>
      </c>
      <c r="K4" t="s">
        <v>37</v>
      </c>
    </row>
    <row r="5" spans="2:11" x14ac:dyDescent="0.3">
      <c r="B5" t="s">
        <v>25</v>
      </c>
      <c r="D5" t="s">
        <v>6</v>
      </c>
      <c r="F5" t="s">
        <v>30</v>
      </c>
      <c r="G5" t="s">
        <v>36</v>
      </c>
      <c r="I5" t="s">
        <v>19</v>
      </c>
      <c r="K5" t="s">
        <v>30</v>
      </c>
    </row>
    <row r="6" spans="2:11" x14ac:dyDescent="0.3">
      <c r="D6" t="s">
        <v>9</v>
      </c>
      <c r="F6" t="s">
        <v>31</v>
      </c>
      <c r="G6" t="s">
        <v>39</v>
      </c>
      <c r="I6" t="s">
        <v>20</v>
      </c>
      <c r="K6" t="s">
        <v>31</v>
      </c>
    </row>
    <row r="7" spans="2:11" x14ac:dyDescent="0.3">
      <c r="D7" t="s">
        <v>2</v>
      </c>
      <c r="F7" t="s">
        <v>38</v>
      </c>
      <c r="G7" t="s">
        <v>42</v>
      </c>
      <c r="I7" t="s">
        <v>21</v>
      </c>
      <c r="K7" t="s">
        <v>35</v>
      </c>
    </row>
    <row r="8" spans="2:11" x14ac:dyDescent="0.3">
      <c r="D8" t="s">
        <v>3</v>
      </c>
      <c r="F8" t="s">
        <v>32</v>
      </c>
      <c r="G8" t="s">
        <v>40</v>
      </c>
      <c r="I8" t="s">
        <v>22</v>
      </c>
      <c r="K8" t="s">
        <v>36</v>
      </c>
    </row>
    <row r="9" spans="2:11" x14ac:dyDescent="0.3">
      <c r="D9" t="s">
        <v>10</v>
      </c>
      <c r="F9" t="s">
        <v>33</v>
      </c>
      <c r="G9" t="s">
        <v>41</v>
      </c>
      <c r="I9" t="s">
        <v>23</v>
      </c>
      <c r="K9" t="s">
        <v>28</v>
      </c>
    </row>
    <row r="10" spans="2:11" x14ac:dyDescent="0.3">
      <c r="D10" t="s">
        <v>11</v>
      </c>
      <c r="F10" t="s">
        <v>34</v>
      </c>
      <c r="I10" t="s">
        <v>27</v>
      </c>
      <c r="K10" t="s">
        <v>38</v>
      </c>
    </row>
    <row r="11" spans="2:11" x14ac:dyDescent="0.3">
      <c r="K11" t="s">
        <v>39</v>
      </c>
    </row>
    <row r="12" spans="2:11" x14ac:dyDescent="0.3">
      <c r="K12" t="s">
        <v>42</v>
      </c>
    </row>
    <row r="13" spans="2:11" x14ac:dyDescent="0.3">
      <c r="K13" t="s">
        <v>32</v>
      </c>
    </row>
    <row r="14" spans="2:11" x14ac:dyDescent="0.3">
      <c r="K14" t="s">
        <v>33</v>
      </c>
    </row>
    <row r="15" spans="2:11" x14ac:dyDescent="0.3">
      <c r="K15" t="s">
        <v>34</v>
      </c>
    </row>
    <row r="16" spans="2:11" x14ac:dyDescent="0.3">
      <c r="K16" t="s">
        <v>40</v>
      </c>
    </row>
    <row r="17" spans="11:11" x14ac:dyDescent="0.3">
      <c r="K17" t="s">
        <v>41</v>
      </c>
    </row>
  </sheetData>
  <sortState xmlns:xlrd2="http://schemas.microsoft.com/office/spreadsheetml/2017/richdata2" ref="K3:K17">
    <sortCondition ref="K3"/>
  </sortState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</vt:lpstr>
      <vt:lpstr>Lookup 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2021-09-19T17:27:20Z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