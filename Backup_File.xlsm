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41CB6DDD-2404-49AC-8E29-40640C7F9012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  <workbookView visibility="hidden" xWindow="16410" yWindow="2235" windowWidth="27000" windowHeight="14010" activeTab="2" xr2:uid="{A189992D-43F9-4DCE-8468-8332BC398536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2" i="1" l="1"/>
  <c r="FB12" i="1"/>
  <c r="FA12" i="1"/>
  <c r="EZ12" i="1"/>
  <c r="FC12" i="1" s="1"/>
  <c r="FD13" i="1"/>
  <c r="FB13" i="1"/>
  <c r="FA13" i="1"/>
  <c r="EZ13" i="1"/>
  <c r="FD7" i="1"/>
  <c r="FB7" i="1"/>
  <c r="FA7" i="1"/>
  <c r="EZ7" i="1"/>
  <c r="FD15" i="1"/>
  <c r="FB15" i="1"/>
  <c r="FA15" i="1"/>
  <c r="EZ15" i="1"/>
  <c r="FD11" i="1"/>
  <c r="FB11" i="1"/>
  <c r="FA11" i="1"/>
  <c r="EZ11" i="1"/>
  <c r="FD10" i="1"/>
  <c r="FB10" i="1"/>
  <c r="FA10" i="1"/>
  <c r="EZ10" i="1"/>
  <c r="FD9" i="1"/>
  <c r="FB9" i="1"/>
  <c r="FA9" i="1"/>
  <c r="EZ9" i="1"/>
  <c r="FC9" i="1" s="1"/>
  <c r="FD6" i="1"/>
  <c r="FB6" i="1"/>
  <c r="FA6" i="1"/>
  <c r="EZ6" i="1"/>
  <c r="FB8" i="1"/>
  <c r="FB14" i="1"/>
  <c r="FD8" i="1"/>
  <c r="FD14" i="1"/>
  <c r="FA8" i="1"/>
  <c r="FA14" i="1"/>
  <c r="EZ8" i="1"/>
  <c r="EZ14" i="1"/>
  <c r="FC13" i="1" l="1"/>
  <c r="FC11" i="1"/>
  <c r="FC6" i="1"/>
  <c r="FC15" i="1"/>
  <c r="FC10" i="1"/>
  <c r="FC7" i="1"/>
  <c r="FC14" i="1"/>
  <c r="FC8" i="1"/>
</calcChain>
</file>

<file path=xl/sharedStrings.xml><?xml version="1.0" encoding="utf-8"?>
<sst xmlns="http://schemas.openxmlformats.org/spreadsheetml/2006/main" count="395" uniqueCount="285">
  <si>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</si>
  <si>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</si>
  <si>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</si>
  <si>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</si>
  <si>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</si>
  <si>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</si>
  <si>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</si>
  <si>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</si>
  <si>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</si>
  <si>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</si>
  <si>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</si>
  <si>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</si>
  <si>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</si>
  <si>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</si>
  <si>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</si>
  <si>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</si>
  <si>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</si>
  <si>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</si>
  <si>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</si>
  <si>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</si>
  <si>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</si>
  <si>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</si>
  <si>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</si>
  <si>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</si>
  <si>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</si>
  <si>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</si>
  <si>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</si>
  <si>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</si>
  <si>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</si>
  <si>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</si>
  <si>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</si>
  <si>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</si>
  <si>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</si>
  <si>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</si>
  <si>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</si>
  <si>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</si>
  <si>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</si>
  <si>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</si>
  <si>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</si>
  <si>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</si>
  <si>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</si>
  <si>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</si>
  <si>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</si>
  <si>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</si>
  <si>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</si>
  <si>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</si>
  <si>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</si>
  <si>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</si>
  <si>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</si>
  <si>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</si>
  <si>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</si>
  <si>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</si>
  <si>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</si>
  <si>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</si>
  <si>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</si>
  <si>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</si>
  <si>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</si>
  <si>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</si>
  <si>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</si>
  <si>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</si>
  <si>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</si>
  <si>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</si>
  <si>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</si>
  <si>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</si>
  <si>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</si>
  <si>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</si>
  <si>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</si>
  <si>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</si>
  <si>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</si>
  <si>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</si>
  <si>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</si>
  <si>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</si>
  <si>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</si>
  <si>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</si>
  <si>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</si>
  <si>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</si>
  <si>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</si>
  <si>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</si>
  <si>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</si>
  <si>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</si>
  <si>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</si>
  <si>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</si>
  <si>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</si>
  <si>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</si>
  <si>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</si>
  <si>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</si>
  <si>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</si>
  <si>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</si>
  <si>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</si>
  <si>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</si>
  <si>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</si>
  <si>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</si>
  <si>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</si>
  <si>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</si>
  <si>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</si>
  <si>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</si>
  <si>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</si>
  <si>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</si>
  <si>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</si>
  <si>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</si>
  <si>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</si>
  <si>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</si>
  <si>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</si>
  <si>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</si>
  <si>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</si>
  <si>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</si>
  <si>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</si>
  <si>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</si>
  <si>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</si>
  <si>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</si>
  <si>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</si>
  <si>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</si>
  <si>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</si>
  <si>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</si>
  <si>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</si>
  <si>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</si>
  <si>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</si>
  <si>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</si>
  <si>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</si>
  <si>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</si>
  <si>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</si>
  <si>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</si>
  <si>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</si>
  <si>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</si>
  <si>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</si>
  <si>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</si>
  <si>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</si>
  <si>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</si>
  <si>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</si>
  <si>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</si>
  <si>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</si>
  <si>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</si>
  <si>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</si>
  <si>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</si>
  <si>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</si>
  <si>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</si>
  <si>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</si>
  <si>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</si>
  <si>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</si>
  <si>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</si>
  <si>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</si>
  <si>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</si>
  <si>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</si>
  <si>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</si>
  <si>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</si>
  <si>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</si>
  <si>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</si>
  <si>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</si>
  <si>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</si>
  <si>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</si>
  <si>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</si>
  <si>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</si>
  <si>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</si>
  <si>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</si>
  <si>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</si>
  <si>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</si>
  <si>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</si>
  <si>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</si>
  <si>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</si>
  <si>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</si>
  <si>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</si>
  <si>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</si>
  <si>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</si>
  <si>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</si>
  <si>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</si>
  <si>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</si>
  <si>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</si>
  <si>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</si>
  <si>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</si>
  <si>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</si>
  <si>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</si>
  <si>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</si>
  <si>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</si>
  <si>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</si>
  <si>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</si>
  <si>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</si>
  <si>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</si>
  <si>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</si>
  <si>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</si>
  <si>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</si>
  <si>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</si>
  <si>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</si>
  <si>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</si>
  <si>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</si>
  <si>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</si>
  <si>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</si>
  <si>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</si>
  <si>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</si>
  <si>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</si>
  <si>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</si>
  <si>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</si>
  <si>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</si>
  <si>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</si>
  <si>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</si>
  <si>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</si>
  <si>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</si>
  <si>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</si>
  <si>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</si>
  <si>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</si>
  <si>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</si>
  <si>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</si>
  <si>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</si>
  <si>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</si>
  <si>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</si>
  <si>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</si>
  <si>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</si>
  <si>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</si>
  <si>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</si>
  <si>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</si>
  <si>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</si>
  <si>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</si>
  <si>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</si>
  <si>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</si>
  <si>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</si>
  <si>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</si>
  <si>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</si>
  <si>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</si>
  <si>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</si>
  <si>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</si>
  <si>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</si>
  <si>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</si>
  <si>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</si>
  <si>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</si>
  <si>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</si>
  <si>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</si>
  <si>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</si>
  <si>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</si>
  <si>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</si>
  <si>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</si>
  <si>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</si>
  <si>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</si>
  <si>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</si>
  <si>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</si>
  <si>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</si>
  <si>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</si>
  <si>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</si>
  <si>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</si>
  <si>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</si>
  <si>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</si>
  <si>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</si>
  <si>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</si>
  <si>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</si>
  <si>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</si>
  <si>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</si>
  <si>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</si>
  <si>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</si>
  <si>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</si>
  <si>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</si>
  <si>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</si>
  <si>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</si>
  <si>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</si>
  <si>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</si>
  <si>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</si>
  <si>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</si>
  <si>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</si>
  <si>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</si>
  <si>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</si>
  <si>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</si>
  <si>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</si>
  <si>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</si>
  <si>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</si>
  <si>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</si>
  <si>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</si>
  <si>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</si>
  <si>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</si>
  <si>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</si>
  <si>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</si>
  <si>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</si>
  <si>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</si>
  <si>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</si>
  <si>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</si>
  <si>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</si>
  <si>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</si>
  <si>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</si>
  <si>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</si>
  <si>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</si>
  <si>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</si>
  <si>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Received = 01-Nov-20
Date Sent Contracts = 01-Nov-20
Date Completed = 01-Jan-21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</si>
  <si>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</si>
  <si>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</si>
  <si>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</si>
  <si>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</si>
  <si>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</si>
  <si>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</si>
  <si>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Data retrieved 28-Sep-2021 12:51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</si>
</sst>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195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194" dataDxfId="193">
  <tableColumns count="157">
    <tableColumn id="2" xr3:uid="{E7B8E3E7-876D-4E6F-8DB6-EF6D63439B27}" name="Date Entry Created" dataDxfId="192"/>
    <tableColumn id="3" xr3:uid="{3B5F919B-773E-47C5-BF9F-89E119924443}" name="User who Created Entry" dataDxfId="191"/>
    <tableColumn id="4" xr3:uid="{52C1C417-C52A-493E-89C7-EC47FA6A00DC}" name="Date Entry Deleted" dataDxfId="190"/>
    <tableColumn id="5" xr3:uid="{39C233C4-ADDB-4C9D-B737-5A0D8E1492BE}" name="User who Deleted Entry" dataDxfId="189"/>
    <tableColumn id="6" xr3:uid="{53729740-3F8D-4BAC-8FEC-59BDF6B2F443}" name="Date Entry Last Accessed" dataDxfId="188"/>
    <tableColumn id="7" xr3:uid="{DA0D4432-1F96-408E-9E20-0A93307325A9}" name="User who Last Accessed Entry" dataDxfId="187"/>
    <tableColumn id="8" xr3:uid="{6F0FF61C-C081-4935-8428-D4A47A4BBCB1}" name="Study Status" dataDxfId="46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40"/>
    <tableColumn id="117" xr3:uid="{9EEB8B23-A4CB-4351-BA34-28B875CA5BC9}" name="CDA Complete" dataDxfId="41"/>
    <tableColumn id="118" xr3:uid="{EEAF9685-FF58-4299-8AC9-70EAA41D7867}" name="FS Complete" dataDxfId="44"/>
    <tableColumn id="119" xr3:uid="{5A71745D-F91F-430E-85CB-6A3ADD0FB772}" name="Site Selection Complete" dataDxfId="45"/>
    <tableColumn id="120" xr3:uid="{51A43A1E-C977-4D5A-AB3B-B853BC3664B2}" name="Recruitment Complete" dataDxfId="43"/>
    <tableColumn id="125" xr3:uid="{5335C76C-7C49-4E93-8894-36BD0B1E9804}" name="Ethics - CAHS Complete" dataDxfId="42"/>
    <tableColumn id="126" xr3:uid="{6151F69C-D5F9-4128-A8E3-E444A31C4646}" name="Ethics - NMA Complete" dataDxfId="65"/>
    <tableColumn id="127" xr3:uid="{9815D2CB-7014-4939-A39D-D99E35ADF880}" name="Ethics - WNHS Complete" dataDxfId="64"/>
    <tableColumn id="128" xr3:uid="{C5816B87-1D9E-443D-B71D-EF2D56B064FF}" name="Ethics - SJOG Complete" dataDxfId="63"/>
    <tableColumn id="129" xr3:uid="{53DFFA91-EBD7-414F-B499-00141C01A736}" name="Ethics - Others Complete" dataDxfId="62"/>
    <tableColumn id="130" xr3:uid="{6DEF5359-846A-472E-944D-281B57926E62}" name="Gov - PCH Complete" dataDxfId="61"/>
    <tableColumn id="121" xr3:uid="{5BA4DB4D-271A-4BB3-94C9-A78D01150788}" name="Gov - TKI Complete" dataDxfId="60"/>
    <tableColumn id="131" xr3:uid="{C9A3CA08-C8A7-4291-92C9-705C74D485AD}" name="Gov - KEMH Complete" dataDxfId="59"/>
    <tableColumn id="132" xr3:uid="{873FD3D8-F030-49F1-A92C-6E32C445C899}" name="Gov - SJOG Subiaco Complete" dataDxfId="58"/>
    <tableColumn id="133" xr3:uid="{B8FF200A-00A6-4130-B768-491439CBFBE7}" name="Gov - SJOG Mt Lawley Complete" dataDxfId="57"/>
    <tableColumn id="134" xr3:uid="{13941F44-D716-4592-BC82-B255BE12E60C}" name="Gov - SJOG Murdoch Complete" dataDxfId="56"/>
    <tableColumn id="135" xr3:uid="{65C1857A-EC53-4A30-8B4D-8610A2522D10}" name="Gov - Others Complete" dataDxfId="55"/>
    <tableColumn id="136" xr3:uid="{E474FC60-EFC4-474D-9C31-CEF1A05FD126}" name="Budget - VTG Complete" dataDxfId="54"/>
    <tableColumn id="137" xr3:uid="{A1CA2D0C-A904-4071-916A-3EA32C06434B}" name="Budget - TKI Complete" dataDxfId="53"/>
    <tableColumn id="138" xr3:uid="{9906220F-039C-40DA-AA46-ECC109B914AD}" name="Budget - Pharmacy Complete" dataDxfId="52"/>
    <tableColumn id="139" xr3:uid="{A08FFA89-66DB-4DD3-BDF6-36DB93440443}" name="Indemnity Complete" dataDxfId="51"/>
    <tableColumn id="140" xr3:uid="{B66F3B52-4D1F-4A39-87B7-4E9740B05ACD}" name="CTRA Complete" dataDxfId="50"/>
    <tableColumn id="141" xr3:uid="{0F417A9F-84AB-492F-878B-EE38BA61D4C8}" name="Fin Disc Complete" dataDxfId="49"/>
    <tableColumn id="142" xr3:uid="{86AF2DD4-CDD5-49D8-99CF-C0B75D633343}" name="SIV Complete" dataDxfId="48"/>
    <tableColumn id="53" xr3:uid="{8B387D3A-A5E5-4E45-86F9-DE7899DB64F9}" name="Overall Ethics" dataDxfId="39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8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5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47" dataDxfId="34">
  <autoFilter ref="A8:AH17" xr:uid="{F456AC9D-7704-49A5-9205-9A7479E6BB27}"/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  <sheetView workbookViewId="1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K18" sqref="K18"/>
    </sheetView>
    <sheetView workbookViewId="1"/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2" spans="4:160" x14ac:dyDescent="0.3">
      <c r="DY2" s="1">
        <v>120</v>
      </c>
      <c r="DZ2" s="1">
        <v>121</v>
      </c>
      <c r="EA2" s="1">
        <v>122</v>
      </c>
    </row>
    <row r="3" spans="4:160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3">
      <c r="D4" s="44" t="s">
        <v>79</v>
      </c>
      <c r="E4" s="44"/>
      <c r="F4" s="45" t="s">
        <v>11</v>
      </c>
      <c r="G4" s="45"/>
      <c r="H4" s="43" t="s">
        <v>10</v>
      </c>
      <c r="I4" s="43"/>
      <c r="J4" s="3"/>
      <c r="K4" s="46" t="s">
        <v>12</v>
      </c>
      <c r="L4" s="46"/>
      <c r="M4" s="46"/>
      <c r="N4" s="46"/>
      <c r="O4" s="46"/>
      <c r="P4" s="16"/>
      <c r="Q4" s="43" t="s">
        <v>181</v>
      </c>
      <c r="R4" s="43"/>
      <c r="S4" s="3"/>
      <c r="T4" s="3"/>
      <c r="U4" s="3"/>
      <c r="V4" s="3"/>
      <c r="W4" s="3"/>
      <c r="X4" s="3"/>
      <c r="Y4" s="43" t="s">
        <v>180</v>
      </c>
      <c r="Z4" s="43"/>
      <c r="AA4" s="3"/>
      <c r="AB4" s="3"/>
      <c r="AC4" s="3"/>
      <c r="AD4" s="3"/>
      <c r="AE4" s="43" t="s">
        <v>188</v>
      </c>
      <c r="AF4" s="43"/>
      <c r="AM4" s="43" t="s">
        <v>195</v>
      </c>
      <c r="AN4" s="43"/>
      <c r="AQ4" s="43" t="s">
        <v>202</v>
      </c>
      <c r="AR4" s="43"/>
      <c r="BL4" s="43" t="s">
        <v>203</v>
      </c>
      <c r="BM4" s="43"/>
      <c r="CQ4" s="43" t="s">
        <v>221</v>
      </c>
      <c r="CR4" s="43"/>
      <c r="DB4" s="43" t="s">
        <v>224</v>
      </c>
      <c r="DC4" s="43"/>
      <c r="DH4" s="43" t="s">
        <v>230</v>
      </c>
      <c r="DI4" s="43"/>
      <c r="DR4" s="43" t="s">
        <v>231</v>
      </c>
      <c r="DS4" s="43"/>
      <c r="DV4" s="43" t="s">
        <v>237</v>
      </c>
      <c r="DW4" s="43"/>
      <c r="DZ4" s="43" t="s">
        <v>239</v>
      </c>
      <c r="EA4" s="43"/>
    </row>
    <row r="5" spans="4:160" x14ac:dyDescent="0.3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3">
      <c r="D6" s="5">
        <v>44452.372048611112</v>
      </c>
      <c r="E6" s="6" t="s">
        <v>87</v>
      </c>
      <c r="F6" s="5"/>
      <c r="G6" s="6"/>
      <c r="H6" s="5">
        <v>44467.007048611114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44466.971631944441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6">
        <f>IFERROR(MATCH(FALSE,Register[[#This Row],[Study Details Complete]:[SIV Complete]],0),1)</f>
        <v>1</v>
      </c>
    </row>
    <row r="7" spans="4:160" x14ac:dyDescent="0.3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6">
        <f>IFERROR(MATCH(FALSE,Register[[#This Row],[Study Details Complete]:[SIV Complete]],0),1)</f>
        <v>1</v>
      </c>
    </row>
    <row r="8" spans="4:160" x14ac:dyDescent="0.3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6">
        <f>IFERROR(MATCH(FALSE,Register[[#This Row],[Study Details Complete]:[SIV Complete]],0),1)</f>
        <v>1</v>
      </c>
    </row>
    <row r="9" spans="4:160" x14ac:dyDescent="0.3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6">
        <f>IFERROR(MATCH(FALSE,Register[[#This Row],[Study Details Complete]:[SIV Complete]],0),1)</f>
        <v>1</v>
      </c>
    </row>
    <row r="10" spans="4:160" x14ac:dyDescent="0.3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6">
        <f>IFERROR(MATCH(FALSE,Register[[#This Row],[Study Details Complete]:[SIV Complete]],0),1)</f>
        <v>1</v>
      </c>
    </row>
    <row r="11" spans="4:160" x14ac:dyDescent="0.3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6">
        <f>IFERROR(MATCH(FALSE,Register[[#This Row],[Study Details Complete]:[SIV Complete]],0),1)</f>
        <v>1</v>
      </c>
    </row>
    <row r="12" spans="4:160" x14ac:dyDescent="0.3">
      <c r="D12" s="5">
        <v>44452.381851851853</v>
      </c>
      <c r="E12" s="6" t="s">
        <v>87</v>
      </c>
      <c r="F12" s="5"/>
      <c r="G12" s="6"/>
      <c r="H12" s="5">
        <v>44467.007777777777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44467.007708333331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6">
        <f>IFERROR(MATCH(FALSE,Register[[#This Row],[Study Details Complete]:[SIV Complete]],0),1)</f>
        <v>1</v>
      </c>
    </row>
    <row r="13" spans="4:160" x14ac:dyDescent="0.3">
      <c r="D13" s="5">
        <v>44463.083506944444</v>
      </c>
      <c r="E13" s="6" t="s">
        <v>87</v>
      </c>
      <c r="F13" s="5"/>
      <c r="G13" s="6"/>
      <c r="H13" s="5">
        <v>44467.0075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IF(COUNTA(Register[[#This Row],[Ethics - CAHS Complete]:[Ethics - Others Complete]])=0, "",IF(COUNTIF(Register[[#This Row],[Ethics - CAHS Complete]:[Ethics - Others Complete]],TRUE)&gt;0,TRUE,FALSE))</f>
        <v/>
      </c>
      <c r="FA13" s="6" t="str">
        <f>IF(COUNTA(Register[[#This Row],[Gov - PCH Complete]:[Gov - Others Complete]])=0,"",IF(COUNTIF(Register[[#This Row],[Gov - PCH Complete]:[Gov - Others Complete]],TRUE)&gt;0,TRUE,FALSE))</f>
        <v/>
      </c>
      <c r="FB13" s="6" t="str">
        <f>IF(COUNTA(Register[[#This Row],[Budget - VTG Complete]:[Budget - Pharmacy Complete]])=0,"",IF(COUNTIF(Register[[#This Row],[Budget - VTG Complete]:[Budget - Pharmacy Complete]],TRUE)=3,TRUE,FALSE))</f>
        <v/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</v>
      </c>
    </row>
    <row r="14" spans="4:160" x14ac:dyDescent="0.3">
      <c r="D14" s="5">
        <v>44464.8440162037</v>
      </c>
      <c r="E14" s="6" t="s">
        <v>246</v>
      </c>
      <c r="F14" s="5"/>
      <c r="G14" s="6"/>
      <c r="H14" s="5">
        <v>44467.007071759261</v>
      </c>
      <c r="I14" s="6" t="s">
        <v>87</v>
      </c>
      <c r="J14" s="4" t="s">
        <v>243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44467.006296296298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 t="str">
        <f>IF(COUNTA(Register[[#This Row],[Ethics - CAHS Complete]:[Ethics - Others Complete]])=0, "",IF(COUNTIF(Register[[#This Row],[Ethics - CAHS Complete]:[Ethics - Others Complete]],TRUE)&gt;0,TRUE,FALSE))</f>
        <v/>
      </c>
      <c r="FA14" s="6" t="str">
        <f>IF(COUNTA(Register[[#This Row],[Gov - PCH Complete]:[Gov - Others Complete]])=0,"",IF(COUNTIF(Register[[#This Row],[Gov - PCH Complete]:[Gov - Others Complete]],TRUE)&gt;0,TRUE,FALSE))</f>
        <v/>
      </c>
      <c r="FB14" s="6" t="str">
        <f>IF(COUNTA(Register[[#This Row],[Budget - VTG Complete]:[Budget - Pharmacy Complete]])=0,"",IF(COUNTIF(Register[[#This Row],[Budget - VTG Complete]:[Budget - Pharmacy Complete]],TRUE)=3,TRUE,FALSE))</f>
        <v/>
      </c>
      <c r="FC14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4" s="15">
        <f>IFERROR(MATCH(FALSE,Register[[#This Row],[Study Details Complete]:[SIV Complete]],0),1)</f>
        <v>1</v>
      </c>
    </row>
    <row r="15" spans="4:160" x14ac:dyDescent="0.3">
      <c r="D15" s="5">
        <v>44466.823842592596</v>
      </c>
      <c r="E15" s="6" t="s">
        <v>87</v>
      </c>
      <c r="F15" s="5"/>
      <c r="G15" s="6"/>
      <c r="H15" s="5">
        <v>44467.007060185184</v>
      </c>
      <c r="I15" s="6" t="s">
        <v>87</v>
      </c>
      <c r="J15" s="4" t="s">
        <v>243</v>
      </c>
      <c r="K15" s="4"/>
      <c r="L15" s="4">
        <v>133</v>
      </c>
      <c r="M15" s="4"/>
      <c r="N15" s="4"/>
      <c r="O15" s="42"/>
      <c r="P15" s="7"/>
      <c r="Q15" s="5">
        <v>44466.971875000003</v>
      </c>
      <c r="R15" s="6" t="s">
        <v>87</v>
      </c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6"/>
      <c r="AE15" s="5"/>
      <c r="AF15" s="6"/>
      <c r="AG15" s="19"/>
      <c r="AH15" s="4"/>
      <c r="AI15" s="19"/>
      <c r="AJ15" s="4"/>
      <c r="AK15" s="19"/>
      <c r="AL15" s="6"/>
      <c r="AM15" s="5"/>
      <c r="AN15" s="6"/>
      <c r="AO15" s="19"/>
      <c r="AP15" s="6"/>
      <c r="AQ15" s="5"/>
      <c r="AR15" s="6"/>
      <c r="AS15" s="19"/>
      <c r="AT15" s="4"/>
      <c r="AU15" s="4"/>
      <c r="AV15" s="19"/>
      <c r="AW15" s="19"/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/>
      <c r="BI15" s="19"/>
      <c r="BJ15" s="19"/>
      <c r="BK15" s="4"/>
      <c r="BL15" s="5"/>
      <c r="BM15" s="6"/>
      <c r="BN15" s="19"/>
      <c r="BO15" s="19"/>
      <c r="BP15" s="19"/>
      <c r="BQ15" s="19"/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19"/>
      <c r="CN15" s="19"/>
      <c r="CO15" s="19"/>
      <c r="CP15" s="4"/>
      <c r="CQ15" s="5"/>
      <c r="CR15" s="6"/>
      <c r="CS15" s="19"/>
      <c r="CT15" s="19"/>
      <c r="CU15" s="19"/>
      <c r="CV15" s="19"/>
      <c r="CW15" s="19"/>
      <c r="CX15" s="19"/>
      <c r="CY15" s="19"/>
      <c r="CZ15" s="19"/>
      <c r="DA15" s="19"/>
      <c r="DB15" s="5"/>
      <c r="DC15" s="6"/>
      <c r="DD15" s="19"/>
      <c r="DE15" s="19"/>
      <c r="DF15" s="19"/>
      <c r="DG15" s="6"/>
      <c r="DH15" s="5"/>
      <c r="DI15" s="6"/>
      <c r="DJ15" s="19"/>
      <c r="DK15" s="19"/>
      <c r="DL15" s="19"/>
      <c r="DM15" s="19"/>
      <c r="DN15" s="19"/>
      <c r="DO15" s="19"/>
      <c r="DP15" s="19"/>
      <c r="DQ15" s="6"/>
      <c r="DR15" s="5"/>
      <c r="DS15" s="6"/>
      <c r="DT15" s="19"/>
      <c r="DU15" s="6"/>
      <c r="DV15" s="5"/>
      <c r="DW15" s="6"/>
      <c r="DX15" s="19"/>
      <c r="DY15" s="6"/>
      <c r="DZ15" s="5"/>
      <c r="EA15" s="6"/>
      <c r="EB15" s="15" t="b">
        <v>0</v>
      </c>
      <c r="EC15" s="15"/>
      <c r="ED15" s="15"/>
      <c r="EE15" s="15"/>
      <c r="EF15" s="15"/>
      <c r="EG15" s="15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15" t="str">
        <f>IF(COUNTA(Register[[#This Row],[Ethics - CAHS Complete]:[Ethics - Others Complete]])=0, "",IF(COUNTIF(Register[[#This Row],[Ethics - CAHS Complete]:[Ethics - Others Complete]],TRUE)&gt;0,TRUE,FALSE))</f>
        <v/>
      </c>
      <c r="FA15" s="6" t="str">
        <f>IF(COUNTA(Register[[#This Row],[Gov - PCH Complete]:[Gov - Others Complete]])=0,"",IF(COUNTIF(Register[[#This Row],[Gov - PCH Complete]:[Gov - Others Complete]],TRUE)&gt;0,TRUE,FALSE))</f>
        <v/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</v>
      </c>
    </row>
    <row r="16" spans="4:160" x14ac:dyDescent="0.3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3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3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3">
      <c r="J19" s="17"/>
      <c r="K19" s="17"/>
    </row>
    <row r="20" spans="10:132" x14ac:dyDescent="0.3">
      <c r="J20" s="17"/>
      <c r="K20" s="17"/>
      <c r="M20" s="47"/>
    </row>
    <row r="21" spans="10:132" x14ac:dyDescent="0.3">
      <c r="EB21" s="48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D18" sqref="D18"/>
    </sheetView>
    <sheetView tabSelected="1" workbookViewId="1"/>
  </sheetViews>
  <sheetFormatPr defaultRowHeight="14.4" x14ac:dyDescent="0.3"/>
  <cols>
    <col min="1" max="1" width="20.77734375" customWidth="1"/>
    <col min="2" max="2" width="18.77734375" customWidth="1"/>
    <col min="3" max="3" width="40.77734375" customWidth="1"/>
    <col min="4" max="4" width="20.77734375" customWidth="1"/>
    <col min="5" max="7" width="18.77734375" customWidth="1"/>
    <col min="8" max="9" width="32.77734375" customWidth="1"/>
    <col min="10" max="27" width="32.77734375" style="1" customWidth="1"/>
    <col min="28" max="28" width="32.77734375" customWidth="1"/>
    <col min="29" max="36" width="32.77734375" style="1" customWidth="1"/>
  </cols>
  <sheetData>
    <row r="1" spans="1:36" ht="18" x14ac:dyDescent="0.35">
      <c r="A1" s="50" t="s">
        <v>147</v>
      </c>
      <c r="C1" s="51" t="s">
        <v>284</v>
      </c>
      <c r="D1" s="20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274</v>
      </c>
      <c r="B3" s="21"/>
      <c r="I3" s="1"/>
      <c r="AB3" s="1"/>
      <c r="AI3"/>
      <c r="AJ3"/>
    </row>
    <row r="4" spans="1:36" x14ac:dyDescent="0.3">
      <c r="A4" t="s">
        <v>275</v>
      </c>
      <c r="B4" s="22"/>
      <c r="I4" s="1"/>
      <c r="AB4" s="1"/>
      <c r="AI4"/>
      <c r="AJ4"/>
    </row>
    <row r="5" spans="1:36" x14ac:dyDescent="0.3">
      <c r="D5" s="24"/>
      <c r="I5" s="1"/>
      <c r="AB5" s="1"/>
      <c r="AI5"/>
      <c r="AJ5"/>
    </row>
    <row r="6" spans="1:36" x14ac:dyDescent="0.3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3">
      <c r="B7" s="23"/>
      <c r="D7" s="23"/>
      <c r="I7" s="1"/>
      <c r="AB7" s="1"/>
      <c r="AI7"/>
      <c r="AJ7"/>
    </row>
    <row r="8" spans="1:36" x14ac:dyDescent="0.3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3">
      <c r="A9" s="35" t="s">
        <v>243</v>
      </c>
      <c r="B9" s="36">
        <v>44452</v>
      </c>
      <c r="C9" s="26" t="s">
        <v>88</v>
      </c>
      <c r="D9" s="37">
        <v>44467.006944444445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2" x14ac:dyDescent="0.3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3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3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3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00.8" x14ac:dyDescent="0.3">
      <c r="A14" s="34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278</v>
      </c>
      <c r="V14" s="26"/>
      <c r="W14" s="26"/>
      <c r="X14" s="26"/>
      <c r="Y14" s="26"/>
      <c r="Z14" s="26"/>
      <c r="AA14" s="34" t="s">
        <v>269</v>
      </c>
      <c r="AB14" s="34" t="s">
        <v>279</v>
      </c>
      <c r="AC14" s="34" t="s">
        <v>266</v>
      </c>
      <c r="AD14" s="34" t="s">
        <v>267</v>
      </c>
      <c r="AE14" s="34" t="s">
        <v>277</v>
      </c>
      <c r="AF14" s="34" t="s">
        <v>280</v>
      </c>
      <c r="AG14" s="34" t="s">
        <v>281</v>
      </c>
      <c r="AH14" s="34" t="s">
        <v>282</v>
      </c>
    </row>
    <row r="15" spans="1:36" x14ac:dyDescent="0.3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283</v>
      </c>
      <c r="AI15"/>
      <c r="AJ15"/>
    </row>
    <row r="16" spans="1:36" x14ac:dyDescent="0.3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3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2021-09-27T16:51:50Z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