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ork\University_2018-19\Semester_2_2021\CITS3200\Project\CITS3200_22\"/>
    </mc:Choice>
  </mc:AlternateContent>
  <xr:revisionPtr revIDLastSave="0" documentId="13_ncr:1_{4712DB0A-E10E-48EB-9560-01217814A6A3}" xr6:coauthVersionLast="47" xr6:coauthVersionMax="47" xr10:uidLastSave="{00000000-0000-0000-0000-000000000000}"/>
  <bookViews>
    <workbookView xWindow="22932" yWindow="-108" windowWidth="23256" windowHeight="12576" activeTab="1" xr2:uid="{1ABECFD8-9AF8-44EB-A383-5C62445662D9}"/>
  </bookViews>
  <sheets>
    <sheet name="User Guide" sheetId="12" r:id="rId1"/>
    <sheet name="Register" sheetId="1" r:id="rId2"/>
    <sheet name="Overview Report" sheetId="11" r:id="rId3"/>
  </sheets>
  <functionGroups builtInGroupCount="19"/>
  <definedNames>
    <definedName name="_xlnm._FilterDatabase" localSheetId="2" hidden="1">'Overview Report'!$A$10:$AH$15</definedName>
    <definedName name="GI_Team">OFFSET(#REF!,0,0,COUNTA(#REF!),1)</definedName>
    <definedName name="ImprovTypes">OFFSET(#REF!,0,0,COUNTA(#REF!),1)</definedName>
    <definedName name="PrjChampTeam">OFFSET(#REF!,0,0,COUNTA(#REF!),1)</definedName>
    <definedName name="PrjOrigTeam">OFFSET(#REF!,0,0,COUNTA(#REF!),1)</definedName>
    <definedName name="PrjStatus">OFFSET(#REF!,0,0,COUNTA(#REF!),1)</definedName>
    <definedName name="TeamSupp">OFFSET(#REF!,0,0,COUNTA(#REF!),1)</definedName>
    <definedName name="TS_Team">OFFSET(#REF!,0,0,COUNTA(#REF!),1)</definedName>
    <definedName name="UNI_AA_VERSION" hidden="1">"322.1.0"</definedName>
    <definedName name="UNI_PRES_CLOSEST" hidden="1">512</definedName>
    <definedName name="UNI_PRES_FILTER" hidden="1">1</definedName>
    <definedName name="UNI_PRES_HEADINGS" hidden="1">16</definedName>
    <definedName name="UNI_PRES_INVERT" hidden="1">2</definedName>
    <definedName name="UNI_PRES_MATRIX" hidden="1">4</definedName>
    <definedName name="UNI_PRES_MERGED" hidden="1">8</definedName>
    <definedName name="UNI_PRES_MRECORD" hidden="1">64</definedName>
    <definedName name="UNI_PRES_MSTIME" hidden="1">8192</definedName>
    <definedName name="UNI_PRES_POST" hidden="1">256</definedName>
    <definedName name="UNI_PRES_PRIOR" hidden="1">2048</definedName>
    <definedName name="UNI_PRES_RECENT" hidden="1">1024</definedName>
    <definedName name="UNI_PRES_STATIC" hidden="1">128</definedName>
    <definedName name="UNI_PRES_TRANSPOSE" hidden="1">4096</definedName>
    <definedName name="UNI_RET_ATTRIB" hidden="1">64</definedName>
    <definedName name="UNI_RET_CONF" hidden="1">32</definedName>
    <definedName name="UNI_RET_DESC" hidden="1">4</definedName>
    <definedName name="UNI_RET_TAG" hidden="1">1</definedName>
    <definedName name="UNI_RET_TIME" hidden="1">8</definedName>
    <definedName name="UNI_RET_UNIT" hidden="1">2</definedName>
    <definedName name="UNI_RET_VALUE" hidden="1">16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D9" i="1" l="1" a="1"/>
  <c r="FD9" i="1" s="1"/>
  <c r="FB9" i="1"/>
  <c r="FA9" i="1"/>
  <c r="EZ9" i="1"/>
  <c r="FD11" i="1" a="1"/>
  <c r="FD11" i="1" s="1"/>
  <c r="FB11" i="1"/>
  <c r="FA11" i="1"/>
  <c r="EZ11" i="1"/>
  <c r="FD10" i="1" a="1"/>
  <c r="FD10" i="1" s="1"/>
  <c r="FB10" i="1"/>
  <c r="FA10" i="1"/>
  <c r="EZ10" i="1"/>
  <c r="FD6" i="1" a="1"/>
  <c r="FD6" i="1" s="1"/>
  <c r="FB6" i="1"/>
  <c r="FA6" i="1"/>
  <c r="EZ6" i="1"/>
  <c r="FD7" i="1" a="1"/>
  <c r="FD7" i="1" s="1"/>
  <c r="FD8" i="1" a="1"/>
  <c r="FD8" i="1" s="1"/>
  <c r="FB7" i="1"/>
  <c r="FA7" i="1"/>
  <c r="EZ7" i="1"/>
  <c r="FB8" i="1"/>
  <c r="FA8" i="1"/>
  <c r="EZ8" i="1"/>
  <c r="FC9" i="1" l="1"/>
  <c r="FC11" i="1"/>
  <c r="FC10" i="1"/>
  <c r="FC6" i="1"/>
  <c r="FC7" i="1"/>
  <c r="FC8" i="1"/>
</calcChain>
</file>

<file path=xl/sharedStrings.xml><?xml version="1.0" encoding="utf-8"?>
<sst xmlns="http://schemas.openxmlformats.org/spreadsheetml/2006/main" count="419" uniqueCount="325">
  <si>
    <t>Creation Log</t>
  </si>
  <si>
    <t>Deletion Log</t>
  </si>
  <si>
    <t>Record Access Log</t>
  </si>
  <si>
    <t>Stage 1</t>
  </si>
  <si>
    <t>Study Details - Version Control</t>
  </si>
  <si>
    <t>CDA - Version Control</t>
  </si>
  <si>
    <t>Feasibility - Version Control</t>
  </si>
  <si>
    <t>Site Select - Version Control</t>
  </si>
  <si>
    <t>Recruitment - Version Control</t>
  </si>
  <si>
    <t>Ethics - Version Control</t>
  </si>
  <si>
    <t>Governance - Version Control</t>
  </si>
  <si>
    <t>Budget - Version Control</t>
  </si>
  <si>
    <t>Indemnity - Version Control</t>
  </si>
  <si>
    <t>CTRA - Version Control</t>
  </si>
  <si>
    <t>Fin. Disc. - Version Control</t>
  </si>
  <si>
    <t>SIV - Version Control</t>
  </si>
  <si>
    <t>Date Entry Created</t>
  </si>
  <si>
    <t>User who Created Entry</t>
  </si>
  <si>
    <t>Date Entry Deleted</t>
  </si>
  <si>
    <t>User who Deleted Entry</t>
  </si>
  <si>
    <t>Date Entry Last Accessed</t>
  </si>
  <si>
    <t>User who Last Accessed Entry</t>
  </si>
  <si>
    <t>Study Status</t>
  </si>
  <si>
    <t>Protocol No.</t>
  </si>
  <si>
    <t>Study Name</t>
  </si>
  <si>
    <t>Study Sponsor</t>
  </si>
  <si>
    <t>Study CRO</t>
  </si>
  <si>
    <t>Age Range</t>
  </si>
  <si>
    <t>Study Details - Reminder Comments</t>
  </si>
  <si>
    <t>Study Details - Date Entry Last Updated</t>
  </si>
  <si>
    <t>Study Details - User who Last Updated Entry</t>
  </si>
  <si>
    <t>Date CDA Received from Sponsor</t>
  </si>
  <si>
    <t>Date CDA sent to Contracts</t>
  </si>
  <si>
    <t>Date CDA received from Contracts</t>
  </si>
  <si>
    <t>Date CDA Sent to Sponsor</t>
  </si>
  <si>
    <t>Date CDA Finalised</t>
  </si>
  <si>
    <t>CDA - Reminder Comments</t>
  </si>
  <si>
    <t>CDA - Date Entry Last Updated</t>
  </si>
  <si>
    <t>CDA - User who Last Updated Entry</t>
  </si>
  <si>
    <t>Date Feasibility Received</t>
  </si>
  <si>
    <t>Date Feasibility Completed</t>
  </si>
  <si>
    <t>Completed By</t>
  </si>
  <si>
    <t>Feasibility - Reminder Comments</t>
  </si>
  <si>
    <t>Feasibility - Date Entry Last Updated</t>
  </si>
  <si>
    <t>Feasibility - User who Last Updated Entry</t>
  </si>
  <si>
    <t>Pre-study Visit Date</t>
  </si>
  <si>
    <t>Pre-study Visit Type</t>
  </si>
  <si>
    <t>Validation Visit Date</t>
  </si>
  <si>
    <t>Validation Visit Type</t>
  </si>
  <si>
    <t>Site Selection Date</t>
  </si>
  <si>
    <t>Site Select - Reminder Comments</t>
  </si>
  <si>
    <t>Site Select - Date Entry Last Updated</t>
  </si>
  <si>
    <t>Site Select - User who Last Updated Entry</t>
  </si>
  <si>
    <t>Date of Planning Meeting</t>
  </si>
  <si>
    <t>Recruitment - Reminder Comments</t>
  </si>
  <si>
    <t>Recruitment - Date Entry Last Updated</t>
  </si>
  <si>
    <t>Recruitment - User who Last Updated Entry</t>
  </si>
  <si>
    <t>CAHS  Ethics Review - Date Submitted</t>
  </si>
  <si>
    <t>CAHS Ethics Review - Date Responded</t>
  </si>
  <si>
    <t>CAHS Ethics Review - Date Resubmitted</t>
  </si>
  <si>
    <t>CAHS Ethics Review - Date Approved</t>
  </si>
  <si>
    <t>CAHS Ethics Review - Reminder Comments</t>
  </si>
  <si>
    <t>NMA Ethics Review - Ethics Committee Name</t>
  </si>
  <si>
    <t>NMA Ethics Review - Date Submitted</t>
  </si>
  <si>
    <t>NMA Ethics Review - Date Approved</t>
  </si>
  <si>
    <t>NMA Ethics Review - Reminder Comments</t>
  </si>
  <si>
    <t>WNHS Ethics Review - Date Submitted</t>
  </si>
  <si>
    <t>WNHS Ethics Review - Date Approved</t>
  </si>
  <si>
    <t>WNHS Ethics Review - Reminder Comments</t>
  </si>
  <si>
    <t>SJOG Ethics Review - Date Submitted</t>
  </si>
  <si>
    <t>SJOG Ethics Review - Date Approved</t>
  </si>
  <si>
    <t>SJOG Ethics Review - Reminder Comments</t>
  </si>
  <si>
    <t>Other Ethics Review - Ethics Committee Name</t>
  </si>
  <si>
    <t>Other Ethics Review - Date Submitted</t>
  </si>
  <si>
    <t>Other Ethics Review - Date Approved</t>
  </si>
  <si>
    <t>Others Ethics Review - Reminder Comments</t>
  </si>
  <si>
    <t>Ethics - Date Entry Last Updated</t>
  </si>
  <si>
    <t>Ethics - User who Last Updated Entry</t>
  </si>
  <si>
    <t>PCH Gov. Review - Date Submitted</t>
  </si>
  <si>
    <t>PCH Gov. Review - Date Responded</t>
  </si>
  <si>
    <t>PCH Gov. Review - Date Approved</t>
  </si>
  <si>
    <t>PCH Gov. Review - Reminder Comments</t>
  </si>
  <si>
    <t>TKI Gov. Review - Date Submitted</t>
  </si>
  <si>
    <t>TKI Gov. Review - Date Responded</t>
  </si>
  <si>
    <t>TKI Gov. Review - Date Approved</t>
  </si>
  <si>
    <t>TKI Gov. Review - Reminder Comments</t>
  </si>
  <si>
    <t>KEMH Gov. Review - Date Submitted</t>
  </si>
  <si>
    <t>KEMH Gov. Review - Date Responded</t>
  </si>
  <si>
    <t>KEMH Gov. Review - Date Approved</t>
  </si>
  <si>
    <t>KEMH Gov. Review - Reminder Comments</t>
  </si>
  <si>
    <t>SJOG Subiaco Gov. Review - Date Submitted</t>
  </si>
  <si>
    <t>SJOG Subiaco Gov. Review - Date Responded</t>
  </si>
  <si>
    <t>SJOG Subiaco Gov. Review - Date Approved</t>
  </si>
  <si>
    <t>SJOG Subiaco Gov. Review - Reminder Comments</t>
  </si>
  <si>
    <t>SJOG Mt Lawley Gov. Review - Date Submitted</t>
  </si>
  <si>
    <t>SJOG Mt Lawley Gov. Review - Date Responded</t>
  </si>
  <si>
    <t>SJOG Mt Lawley Gov. Review - Date Approved</t>
  </si>
  <si>
    <t>SJOG Mt Lawley Gov. Review - Reminder Comments</t>
  </si>
  <si>
    <t>SJOG Murdoch Gov. Review - Date Submitted</t>
  </si>
  <si>
    <t>SJOG Murdoch Gov. Review - Date Responded</t>
  </si>
  <si>
    <t>SJOG Murdoch Gov. Review - Date Approved</t>
  </si>
  <si>
    <t>SJOG Murdoch Gov. Review - Reminder Comments</t>
  </si>
  <si>
    <t>Other Gov. Review - Governance Body</t>
  </si>
  <si>
    <t>Other Gov. Review - Date Submitted</t>
  </si>
  <si>
    <t>Other Gov. Review - Date Responded</t>
  </si>
  <si>
    <t>Other Gov. Review - Date Approved</t>
  </si>
  <si>
    <t>Others Gov. Review - Reminder Comments</t>
  </si>
  <si>
    <t>Governance - Date Entry Last Updated</t>
  </si>
  <si>
    <t>Governance - User who Last Updated Entry</t>
  </si>
  <si>
    <t>VTG Budget Review - Date Finalised</t>
  </si>
  <si>
    <t>VTG Budget Review - Date Submitted to Finance</t>
  </si>
  <si>
    <t>VTG Budget Review - Date Approved</t>
  </si>
  <si>
    <t>VTG Budget Review - Reminder Comments</t>
  </si>
  <si>
    <t>TKI Budget Review - Date Approved</t>
  </si>
  <si>
    <t>TKI Budget Review - Reminder Comments</t>
  </si>
  <si>
    <t>Pharmacy Budget Review - Date Quote Received</t>
  </si>
  <si>
    <t>Pharmacy Budget Review - Date PO Finalised</t>
  </si>
  <si>
    <t>Pharmacy Budget Review - Reminder Comments</t>
  </si>
  <si>
    <t>Budget - Date Entry Last Updated</t>
  </si>
  <si>
    <t>Budget - User who Last Updated Entry</t>
  </si>
  <si>
    <t>Indemnity Review - Date Received</t>
  </si>
  <si>
    <t>Indemnity Review - Date Sent to Contracts</t>
  </si>
  <si>
    <t>Indemnity Review - Date Completed</t>
  </si>
  <si>
    <t>Indemnity - Reminder Comments</t>
  </si>
  <si>
    <t>Indemnity - Date Entry Last Updated</t>
  </si>
  <si>
    <t>Indemnity - User who Last Updated Entry</t>
  </si>
  <si>
    <t>CTRA - Date submitted to Research, Gov. &amp; Contracts</t>
  </si>
  <si>
    <t>CTRA - Date of UWA Review</t>
  </si>
  <si>
    <t>CTRA - Date of Finance Review &amp; Approval</t>
  </si>
  <si>
    <t>CTRA - Date of COO / CFO sign-off</t>
  </si>
  <si>
    <t>CTRA - Date of VTG sign-off</t>
  </si>
  <si>
    <t>CTRA - Date of submission to Company</t>
  </si>
  <si>
    <t>CTRA - Date Finalised</t>
  </si>
  <si>
    <t>CTRA - Reminder Comments</t>
  </si>
  <si>
    <t>CTRA - Date Entry Last Updated</t>
  </si>
  <si>
    <t>CTRA - User who Last Updated Entry</t>
  </si>
  <si>
    <t>Date Financial Disclosure Completed</t>
  </si>
  <si>
    <t>Fin. Disc. - Reminder Comments</t>
  </si>
  <si>
    <t>Fin. Disc. - Date Entry Last Updated</t>
  </si>
  <si>
    <t>Fin. Disc. - User who Last Updated Entry</t>
  </si>
  <si>
    <t>Date of Site Initiation Visit</t>
  </si>
  <si>
    <t>SIV - Reminder Comments</t>
  </si>
  <si>
    <t>SIV - Date Entry Last Updated</t>
  </si>
  <si>
    <t>SIV - User who Last Updated Entry</t>
  </si>
  <si>
    <t>Study Details Complete</t>
  </si>
  <si>
    <t>CDA Complete</t>
  </si>
  <si>
    <t>FS Complete</t>
  </si>
  <si>
    <t>Site Selection Complete</t>
  </si>
  <si>
    <t>Recruitment Complete</t>
  </si>
  <si>
    <t>Ethics - CAHS Complete</t>
  </si>
  <si>
    <t>Ethics - NMA Complete</t>
  </si>
  <si>
    <t>Ethics - WNHS Complete</t>
  </si>
  <si>
    <t>Ethics - SJOG Complete</t>
  </si>
  <si>
    <t>Ethics - Others Complete</t>
  </si>
  <si>
    <t>Gov - PCH Complete</t>
  </si>
  <si>
    <t>Gov - TKI Complete</t>
  </si>
  <si>
    <t>Gov - KEMH Complete</t>
  </si>
  <si>
    <t>Gov - SJOG Subiaco Complete</t>
  </si>
  <si>
    <t>Gov - SJOG Mt Lawley Complete</t>
  </si>
  <si>
    <t>Gov - SJOG Murdoch Complete</t>
  </si>
  <si>
    <t>Gov - Others Complete</t>
  </si>
  <si>
    <t>Budget - VTG Complete</t>
  </si>
  <si>
    <t>Budget - TKI Complete</t>
  </si>
  <si>
    <t>Budget - Pharmacy Complete</t>
  </si>
  <si>
    <t>Indemnity Complete</t>
  </si>
  <si>
    <t>CTRA Complete</t>
  </si>
  <si>
    <t>Fin Disc Complete</t>
  </si>
  <si>
    <t>SIV Complete</t>
  </si>
  <si>
    <t>Overall Ethics</t>
  </si>
  <si>
    <t>Overall Governance</t>
  </si>
  <si>
    <t>Overall Budget</t>
  </si>
  <si>
    <t>Overall Study</t>
  </si>
  <si>
    <t>Fast Cycle Location</t>
  </si>
  <si>
    <t>Valued Customer</t>
  </si>
  <si>
    <t>Pre-commencement</t>
  </si>
  <si>
    <t>Protocol 1</t>
  </si>
  <si>
    <t>Study 1</t>
  </si>
  <si>
    <t>Sponsor 1</t>
  </si>
  <si>
    <t>CRO 1</t>
  </si>
  <si>
    <t>Age 1</t>
  </si>
  <si>
    <t>Reminder to call Person 1</t>
  </si>
  <si>
    <t>Protocol 2</t>
  </si>
  <si>
    <t>Study 2</t>
  </si>
  <si>
    <t>Sponsor 2</t>
  </si>
  <si>
    <t>CRO 2</t>
  </si>
  <si>
    <t>Call Mr M to followup on 17th October</t>
  </si>
  <si>
    <t>DELETED</t>
  </si>
  <si>
    <t>PSM123</t>
  </si>
  <si>
    <t>Foxtrot Charlie</t>
  </si>
  <si>
    <t>Pfizer</t>
  </si>
  <si>
    <t>CRO 4</t>
  </si>
  <si>
    <t>A</t>
  </si>
  <si>
    <t>C</t>
  </si>
  <si>
    <t>GSK</t>
  </si>
  <si>
    <t>PNUM-12343</t>
  </si>
  <si>
    <t>Full example study</t>
  </si>
  <si>
    <t>ABC</t>
  </si>
  <si>
    <t>CRO</t>
  </si>
  <si>
    <t>Children ages 1 to 5</t>
  </si>
  <si>
    <t>HE</t>
  </si>
  <si>
    <t>Virtual</t>
  </si>
  <si>
    <t>On-site</t>
  </si>
  <si>
    <t>NMT</t>
  </si>
  <si>
    <t>Vaccine Trial Start-ups Tracking Form</t>
  </si>
  <si>
    <t>Completed activity</t>
  </si>
  <si>
    <t>Incomplete activity</t>
  </si>
  <si>
    <t>Date Created</t>
  </si>
  <si>
    <t>Date Last Updated</t>
  </si>
  <si>
    <t>Protocol Number</t>
  </si>
  <si>
    <t>Sponsor</t>
  </si>
  <si>
    <t>Age Range / Reminder</t>
  </si>
  <si>
    <t>CDA</t>
  </si>
  <si>
    <t>Feasibility</t>
  </si>
  <si>
    <t>Site Selection</t>
  </si>
  <si>
    <t>Recruitment Plan</t>
  </si>
  <si>
    <t>Overall Ethics Approval</t>
  </si>
  <si>
    <t>CAHS Ethics Approval</t>
  </si>
  <si>
    <t>NMA Ethics Approval</t>
  </si>
  <si>
    <t>WNHS Ethics Approval</t>
  </si>
  <si>
    <t>SJOG Ethics Approval</t>
  </si>
  <si>
    <t>Others Ethics Approval</t>
  </si>
  <si>
    <t>Overall Governance Approval</t>
  </si>
  <si>
    <t>PCH Governance Approval</t>
  </si>
  <si>
    <t>TKI Governance Approval</t>
  </si>
  <si>
    <t>KEMH Governance Approval</t>
  </si>
  <si>
    <t>SJOG Subiaco Gov. Approval</t>
  </si>
  <si>
    <t>SJOG Mt Lawley Gov. Approval</t>
  </si>
  <si>
    <t>SJOG Murdoch Gov. Approval</t>
  </si>
  <si>
    <t>Others Governance Approval</t>
  </si>
  <si>
    <t>Overall Budget Approval</t>
  </si>
  <si>
    <t>VTG Budget Approval</t>
  </si>
  <si>
    <t>TKI Budget Approval</t>
  </si>
  <si>
    <t>Pharmacy Quotation</t>
  </si>
  <si>
    <t>Indemnity</t>
  </si>
  <si>
    <t>CTRA</t>
  </si>
  <si>
    <t>Financial Disclosure</t>
  </si>
  <si>
    <t>SIV</t>
  </si>
  <si>
    <t xml:space="preserve">
Reminder:
Call Mr M to followup on 17th October</t>
  </si>
  <si>
    <t xml:space="preserve">Date Recv. Sponsor = 10-Jan-20
Date Sent Contracts = 12-Jan-20
Date Recv. Contracts = 02-Feb-20
Date Sent Sponsor = 01-Mar-20
Date Finalised = 31-Mar-20
</t>
  </si>
  <si>
    <t>Date Recv. = 15-Jan-20
Date Completed = 31-Mar-20; HE</t>
  </si>
  <si>
    <t>Pre-study visit = 20-Mar-20; Virtual
Valid. visit = 27-Mar-20; On-site
Date Site Selected = 01-Apr-20</t>
  </si>
  <si>
    <t>Plan. Meeting = 05-Apr-20</t>
  </si>
  <si>
    <t>CAHS Complete
NMA Complete
WNHS Complete</t>
  </si>
  <si>
    <t>Date Submitted = 01-Jun-20
Date Responded = 01-Sep-21
Date Resubmitted = 01-Feb-21
Date Approved = 30-Jun-20</t>
  </si>
  <si>
    <t>Ethics Commitee = NMT
Date Submitted = 01-Jan-20
Date Approved = 26-Jan-20</t>
  </si>
  <si>
    <t>Date Submitted = 20-Jan-20
Date Approved = 24-Jan-20</t>
  </si>
  <si>
    <t>PCH Complete
TKI Complete</t>
  </si>
  <si>
    <t>Date Submitted = 01-Jun-20
Date Responded = 05-May-20
Date Approved = 09-Sep-20</t>
  </si>
  <si>
    <t>Date Submitted = 01-Jul-20
Date Responded = 05-Jul-20
Date Approved = 01-Aug-20</t>
  </si>
  <si>
    <t>VTG Complete
TKI Complete
Pharmacy Complete</t>
  </si>
  <si>
    <t>Date Finalised = 01-Aug-20
Date Submitted Finance = 15-Aug-20
Date Approved = 01-Sep-20</t>
  </si>
  <si>
    <t>Date Approved = 05-Sep-20</t>
  </si>
  <si>
    <t>Date Quote Recv. = 01-Aug-20
Date PO Finalised = 30-Sep-20</t>
  </si>
  <si>
    <t>Date Received = 01-Nov-20
Date Sent Contracts = 01-Nov-20
Date Completed = 01-Jan-21</t>
  </si>
  <si>
    <t>Date Submitted R,G&amp;C = 01-May-20
Date UWA Review = 03-May-20
Date Finance Review = 04-May-20
Date COO/CFO Sign-off = 06-May-20
Date VTG Sign-off = 06-May-20
Date Subm. Company = 07-May-20
Date Finalised = 08-May-20</t>
  </si>
  <si>
    <t>Date Completed = 20-Oct-20</t>
  </si>
  <si>
    <t>Date of SIV = 01-Feb-22</t>
  </si>
  <si>
    <t>Edit Record will open up a new form where there is different tabs to select on to input details such as Study Detail, CDA, Feasibility,etc.</t>
  </si>
  <si>
    <t>EDIT RECORD FORM</t>
  </si>
  <si>
    <t>The form will always pop up in the top left corner of the excel sheet.</t>
  </si>
  <si>
    <t>All Data Entries and edits will be done via the userform</t>
  </si>
  <si>
    <t>Step by step guide to open and go through the form</t>
  </si>
  <si>
    <t>CDA PAGE</t>
  </si>
  <si>
    <t>SITE SELECTION</t>
  </si>
  <si>
    <t>STUDY DETAIL PAGE</t>
  </si>
  <si>
    <t>FEASIBILITY</t>
  </si>
  <si>
    <t>RECRUITMENT PLAN</t>
  </si>
  <si>
    <t>ETHICS REVIEW</t>
  </si>
  <si>
    <t>Governance Review</t>
  </si>
  <si>
    <t>Budget Review</t>
  </si>
  <si>
    <t>Indemnity Review</t>
  </si>
  <si>
    <t>ACER</t>
  </si>
  <si>
    <t>GRACE</t>
  </si>
  <si>
    <t>pregnant women 18-49 y/o</t>
  </si>
  <si>
    <t>In progress</t>
  </si>
  <si>
    <t>in progress</t>
  </si>
  <si>
    <t>Midland</t>
  </si>
  <si>
    <t>In Progress</t>
  </si>
  <si>
    <t>Needs Resigning with Nick Wood</t>
  </si>
  <si>
    <t>Quote and service agreement signed</t>
  </si>
  <si>
    <t>Needs resigning</t>
  </si>
  <si>
    <t>Done</t>
  </si>
  <si>
    <t>WNHS Incomplete
SJOG Incomplete</t>
  </si>
  <si>
    <t>Date Submitted = 
Date Approved = 26-May-21</t>
  </si>
  <si>
    <t>Date Submitted = 
Date Approved = 11-Jun-21</t>
  </si>
  <si>
    <t>PCH Incomplete
TKI Incomplete
SJOG Mt Lawley Incomplete
Others Incomplete</t>
  </si>
  <si>
    <t>Date Submitted = 
Date Responded = 
Date Approved = 05-Jun-21</t>
  </si>
  <si>
    <t>Date Submitted = 
Date Responded = 
Date Approved = 09-Jun-21</t>
  </si>
  <si>
    <t>Date Submitted = 
Date Responded = 
Date Approved = 05-Jul-21</t>
  </si>
  <si>
    <t>Gov. Body = Midland
Date Submitted = 
Date Responded = 
Date Approved = 
Reminder:
In Progress</t>
  </si>
  <si>
    <t>Date of SIV = 20-Jul-21</t>
  </si>
  <si>
    <t>Commenced</t>
  </si>
  <si>
    <t>C3671008</t>
  </si>
  <si>
    <t>Matisse</t>
  </si>
  <si>
    <t>ICON</t>
  </si>
  <si>
    <t>Pregnant women and babies</t>
  </si>
  <si>
    <t>Monash Health</t>
  </si>
  <si>
    <t xml:space="preserve">Date Recv. Sponsor = 01-Jul-20
Date Sent Contracts = 02-Jul-20
Date Recv. Contracts = 03-Jul-20
Date Sent Sponsor = 04-Jul-20
Date Finalised = 05-Jul-20
</t>
  </si>
  <si>
    <t xml:space="preserve">Date Recv. = 06-Jul-20
Date Completed = 07-Jul-20; </t>
  </si>
  <si>
    <t>SJOG Complete</t>
  </si>
  <si>
    <t>Ethics Commitee = Monash Health
Date Submitted = 
Date Approved = 15-Jul-20</t>
  </si>
  <si>
    <t>Date Submitted = 09-Jul-20
Date Approved = 16-Jul-20</t>
  </si>
  <si>
    <t>Click on the button similar to the button below in the register or Overview sheet</t>
  </si>
  <si>
    <t>All Date and Time are expected to be in DD-MMM-YYY</t>
  </si>
  <si>
    <t>Navigation F</t>
  </si>
  <si>
    <t>The application is designed to work on MS Windows OS via MS Excel version 2010 or later. No additional plugins are needed to run the application.</t>
  </si>
  <si>
    <t>Application Environment Needed</t>
  </si>
  <si>
    <t>To run the application, it is necessary to "Enable use of Macros"</t>
  </si>
  <si>
    <t>https://www.ablebits.com/office-addins-blog/2020/03/11/enable-disable-macros-excel/</t>
  </si>
  <si>
    <t>A good guide to applying the settings is found via link below</t>
  </si>
  <si>
    <t>Application Architecture</t>
  </si>
  <si>
    <t>The application is underpinned by data populated within the "Register" table that is located in the Register worksheet.</t>
  </si>
  <si>
    <t>No protections have been applied to the register tab to enable the user to apply bulk changes directly in the register of study start-ups.</t>
  </si>
  <si>
    <t>Unless necessary it is recommended for users to work off the Overview Report worksheet instead.</t>
  </si>
  <si>
    <t>MS Excel user forms have been developed to improve the data entry and record review process.</t>
  </si>
  <si>
    <t>A macro has also been developed to generate a study summary.</t>
  </si>
  <si>
    <t>Note:</t>
  </si>
  <si>
    <t>Changes to the structure of the Register table i.e. adding or deleting columns will break the application.</t>
  </si>
  <si>
    <t>No security features have been applied to the application to prevent users from accessing it or securely storing the data. It is assumed company internal network security is adequate.</t>
  </si>
  <si>
    <t>Using Data-Entry Userforms</t>
  </si>
  <si>
    <t>Register Index</t>
  </si>
  <si>
    <t>Data retrieved 06-Oct-2021 05:55 AM</t>
  </si>
  <si>
    <t>0123456789111111111111111111111111111111111111111111111111111111111111111111111111111111111111111111111111111111111111111111111111111111111111111111111111111111111111111111111111111111111111111111111111111111111111111111111111111111111111110123456789</t>
  </si>
  <si>
    <t>Not Going Ahead</t>
  </si>
  <si>
    <t>01234567891111111111111111111111111111111111111111111111111111111111111111111111111111111111111111111111111111111111111111111111111111111111111111111111111111111111111111111111111111111111110123456789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</si>
</sst>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\-mmm\-yyyy\ hh:mm\ AM/PM"/>
    <numFmt numFmtId="165" formatCode="dd\-mmm\-yyyy\ hh:mm:ss\ AM/PM"/>
    <numFmt numFmtId="166" formatCode="d\-mmm\-yyyy"/>
    <numFmt numFmtId="167" formatCode="dd\-mmm\-yyyy\ hh:mm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u/>
      <sz val="13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rgb="FFD1B2E8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6B0B0"/>
        <bgColor indexed="64"/>
      </patternFill>
    </fill>
    <fill>
      <patternFill patternType="solid">
        <fgColor rgb="FFC39BE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69">
    <xf numFmtId="0" fontId="0" fillId="0" borderId="0" xfId="0"/>
    <xf numFmtId="0" fontId="0" fillId="0" borderId="0" xfId="0" applyAlignment="1">
      <alignment horizontal="left" vertical="top"/>
    </xf>
    <xf numFmtId="0" fontId="0" fillId="0" borderId="0" xfId="0" applyAlignment="1">
      <alignment horizontal="left" vertical="top" wrapText="1"/>
    </xf>
    <xf numFmtId="0" fontId="1" fillId="0" borderId="0" xfId="0" applyFont="1" applyAlignment="1">
      <alignment vertical="top"/>
    </xf>
    <xf numFmtId="0" fontId="2" fillId="0" borderId="0" xfId="0" applyFont="1" applyAlignment="1">
      <alignment horizontal="left" vertical="top"/>
    </xf>
    <xf numFmtId="165" fontId="2" fillId="0" borderId="0" xfId="0" applyNumberFormat="1" applyFont="1" applyFill="1" applyAlignment="1">
      <alignment horizontal="left" vertical="top"/>
    </xf>
    <xf numFmtId="0" fontId="2" fillId="0" borderId="0" xfId="0" applyFont="1" applyFill="1" applyAlignment="1">
      <alignment horizontal="left" vertical="top"/>
    </xf>
    <xf numFmtId="0" fontId="2" fillId="4" borderId="0" xfId="0" applyFont="1" applyFill="1" applyAlignment="1">
      <alignment horizontal="left" vertical="top"/>
    </xf>
    <xf numFmtId="0" fontId="2" fillId="2" borderId="0" xfId="0" applyFont="1" applyFill="1" applyAlignment="1">
      <alignment horizontal="left" vertical="top"/>
    </xf>
    <xf numFmtId="0" fontId="0" fillId="0" borderId="0" xfId="0" applyFont="1" applyAlignment="1">
      <alignment horizontal="left" vertical="top"/>
    </xf>
    <xf numFmtId="165" fontId="2" fillId="5" borderId="0" xfId="0" applyNumberFormat="1" applyFont="1" applyFill="1" applyAlignment="1">
      <alignment horizontal="left" vertical="top"/>
    </xf>
    <xf numFmtId="0" fontId="2" fillId="5" borderId="0" xfId="0" applyFont="1" applyFill="1" applyAlignment="1">
      <alignment horizontal="left" vertical="top"/>
    </xf>
    <xf numFmtId="164" fontId="2" fillId="3" borderId="0" xfId="0" applyNumberFormat="1" applyFont="1" applyFill="1" applyAlignment="1">
      <alignment horizontal="left" vertical="top"/>
    </xf>
    <xf numFmtId="0" fontId="2" fillId="3" borderId="0" xfId="0" applyFont="1" applyFill="1" applyAlignment="1">
      <alignment horizontal="left" vertical="top"/>
    </xf>
    <xf numFmtId="164" fontId="2" fillId="2" borderId="0" xfId="0" applyNumberFormat="1" applyFont="1" applyFill="1" applyAlignment="1">
      <alignment horizontal="left" vertical="top"/>
    </xf>
    <xf numFmtId="0" fontId="2" fillId="0" borderId="0" xfId="0" applyNumberFormat="1" applyFont="1" applyFill="1" applyAlignment="1">
      <alignment horizontal="left" vertical="top"/>
    </xf>
    <xf numFmtId="20" fontId="0" fillId="0" borderId="0" xfId="0" applyNumberFormat="1" applyAlignment="1">
      <alignment horizontal="left" vertical="top"/>
    </xf>
    <xf numFmtId="20" fontId="0" fillId="0" borderId="0" xfId="0" applyNumberFormat="1" applyFont="1" applyAlignment="1">
      <alignment horizontal="left" vertical="top"/>
    </xf>
    <xf numFmtId="14" fontId="2" fillId="0" borderId="0" xfId="0" applyNumberFormat="1" applyFont="1" applyAlignment="1">
      <alignment horizontal="left" vertical="top"/>
    </xf>
    <xf numFmtId="0" fontId="4" fillId="0" borderId="0" xfId="0" applyFont="1"/>
    <xf numFmtId="0" fontId="0" fillId="6" borderId="1" xfId="0" applyFill="1" applyBorder="1"/>
    <xf numFmtId="0" fontId="0" fillId="7" borderId="1" xfId="0" applyFill="1" applyBorder="1"/>
    <xf numFmtId="0" fontId="1" fillId="0" borderId="0" xfId="0" applyFont="1" applyAlignment="1">
      <alignment wrapText="1"/>
    </xf>
    <xf numFmtId="0" fontId="0" fillId="0" borderId="0" xfId="0" applyBorder="1"/>
    <xf numFmtId="0" fontId="0" fillId="0" borderId="0" xfId="0" applyAlignment="1">
      <alignment vertical="top"/>
    </xf>
    <xf numFmtId="0" fontId="0" fillId="0" borderId="0" xfId="0" applyFont="1" applyFill="1" applyAlignment="1">
      <alignment horizontal="left" vertical="top" wrapText="1"/>
    </xf>
    <xf numFmtId="0" fontId="0" fillId="0" borderId="0" xfId="0" applyFont="1" applyFill="1" applyBorder="1" applyAlignment="1">
      <alignment horizontal="left" vertical="top" wrapText="1"/>
    </xf>
    <xf numFmtId="0" fontId="1" fillId="0" borderId="0" xfId="0" applyFont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166" fontId="1" fillId="0" borderId="0" xfId="0" applyNumberFormat="1" applyFon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Font="1" applyFill="1" applyAlignment="1">
      <alignment horizontal="left" vertical="top"/>
    </xf>
    <xf numFmtId="0" fontId="0" fillId="6" borderId="1" xfId="0" applyFont="1" applyFill="1" applyBorder="1" applyAlignment="1">
      <alignment horizontal="left" vertical="top" wrapText="1"/>
    </xf>
    <xf numFmtId="0" fontId="0" fillId="7" borderId="1" xfId="0" applyFont="1" applyFill="1" applyBorder="1" applyAlignment="1">
      <alignment horizontal="left" vertical="top" wrapText="1"/>
    </xf>
    <xf numFmtId="166" fontId="0" fillId="0" borderId="0" xfId="0" applyNumberFormat="1" applyFont="1" applyFill="1" applyAlignment="1">
      <alignment horizontal="left" vertical="top"/>
    </xf>
    <xf numFmtId="167" fontId="0" fillId="0" borderId="0" xfId="0" applyNumberFormat="1" applyFont="1" applyFill="1" applyAlignment="1">
      <alignment horizontal="left" vertical="top"/>
    </xf>
    <xf numFmtId="0" fontId="0" fillId="0" borderId="0" xfId="0" applyFont="1" applyAlignment="1">
      <alignment vertical="top"/>
    </xf>
    <xf numFmtId="0" fontId="0" fillId="0" borderId="0" xfId="0" applyBorder="1" applyAlignment="1">
      <alignment horizontal="left" vertical="top"/>
    </xf>
    <xf numFmtId="0" fontId="2" fillId="8" borderId="0" xfId="0" applyFont="1" applyFill="1" applyAlignment="1">
      <alignment horizontal="left" vertical="top"/>
    </xf>
    <xf numFmtId="14" fontId="0" fillId="0" borderId="0" xfId="0" applyNumberFormat="1" applyAlignment="1">
      <alignment horizontal="left" vertical="top"/>
    </xf>
    <xf numFmtId="0" fontId="0" fillId="0" borderId="0" xfId="0" applyNumberFormat="1" applyAlignment="1">
      <alignment horizontal="left" vertical="top"/>
    </xf>
    <xf numFmtId="14" fontId="0" fillId="0" borderId="0" xfId="0" applyNumberFormat="1" applyFont="1" applyAlignment="1">
      <alignment horizontal="left" vertical="top"/>
    </xf>
    <xf numFmtId="0" fontId="5" fillId="0" borderId="0" xfId="0" applyFont="1"/>
    <xf numFmtId="0" fontId="6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top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8" fillId="0" borderId="0" xfId="0" applyFont="1" applyBorder="1"/>
    <xf numFmtId="0" fontId="0" fillId="0" borderId="6" xfId="0" applyBorder="1"/>
    <xf numFmtId="0" fontId="9" fillId="0" borderId="0" xfId="1" applyBorder="1"/>
    <xf numFmtId="0" fontId="1" fillId="0" borderId="0" xfId="0" applyFont="1" applyBorder="1"/>
    <xf numFmtId="0" fontId="7" fillId="0" borderId="0" xfId="0" applyFont="1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0" xfId="0" applyFill="1" applyBorder="1"/>
    <xf numFmtId="0" fontId="10" fillId="0" borderId="0" xfId="0" applyFont="1" applyBorder="1"/>
    <xf numFmtId="0" fontId="8" fillId="0" borderId="5" xfId="0" applyFont="1" applyBorder="1" applyAlignment="1">
      <alignment horizontal="center"/>
    </xf>
    <xf numFmtId="0" fontId="0" fillId="0" borderId="0" xfId="0" applyFont="1" applyFill="1" applyAlignment="1">
      <alignment horizontal="center" vertical="center" wrapText="1"/>
    </xf>
    <xf numFmtId="0" fontId="1" fillId="2" borderId="0" xfId="0" applyFont="1" applyFill="1" applyAlignment="1">
      <alignment horizontal="center" vertical="top"/>
    </xf>
    <xf numFmtId="0" fontId="1" fillId="5" borderId="0" xfId="0" applyFont="1" applyFill="1" applyAlignment="1">
      <alignment horizontal="center" vertical="top"/>
    </xf>
    <xf numFmtId="0" fontId="1" fillId="3" borderId="0" xfId="0" applyFont="1" applyFill="1" applyAlignment="1">
      <alignment horizontal="center" vertical="top"/>
    </xf>
    <xf numFmtId="0" fontId="1" fillId="0" borderId="0" xfId="0" applyFont="1" applyAlignment="1">
      <alignment horizontal="center" vertical="top"/>
    </xf>
    <xf numFmtId="0" fontId="2" fillId="4" borderId="0" xfId="0" quotePrefix="1" applyFont="1" applyFill="1" applyAlignment="1">
      <alignment horizontal="left" vertical="top"/>
    </xf>
    <xf numFmtId="14" fontId="2" fillId="0" borderId="0" xfId="0" quotePrefix="1" applyNumberFormat="1" applyFont="1" applyAlignment="1">
      <alignment horizontal="left" vertical="top"/>
    </xf>
    <xf numFmtId="0" fontId="2" fillId="0" borderId="0" xfId="0" quotePrefix="1" applyFont="1" applyFill="1" applyAlignment="1">
      <alignment horizontal="left" vertical="top"/>
    </xf>
  </cellXfs>
  <cellStyles count="2">
    <cellStyle name="Hyperlink" xfId="1" builtinId="8"/>
    <cellStyle name="Normal" xfId="0" builtinId="0"/>
  </cellStyles>
  <dxfs count="19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numFmt numFmtId="167" formatCode="dd\-mmm\-yyyy\ hh:mm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numFmt numFmtId="166" formatCode="d\-mmm\-yyyy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solid">
          <fgColor indexed="64"/>
          <bgColor rgb="FFF6B0B0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rgb="FFF6B0B0"/>
          <bgColor rgb="FF000000"/>
        </patternFill>
      </fill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C39BE1"/>
      <color rgb="FFFF9B9B"/>
      <color rgb="FFD1B2E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4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421342</xdr:colOff>
      <xdr:row>45</xdr:row>
      <xdr:rowOff>53788</xdr:rowOff>
    </xdr:from>
    <xdr:to>
      <xdr:col>15</xdr:col>
      <xdr:colOff>573850</xdr:colOff>
      <xdr:row>70</xdr:row>
      <xdr:rowOff>97590</xdr:rowOff>
    </xdr:to>
    <xdr:pic>
      <xdr:nvPicPr>
        <xdr:cNvPr id="48" name="Picture 47">
          <a:extLst>
            <a:ext uri="{FF2B5EF4-FFF2-40B4-BE49-F238E27FC236}">
              <a16:creationId xmlns:a16="http://schemas.microsoft.com/office/drawing/2014/main" id="{6B0FF98E-12CA-4AC8-8356-FE302D5FE0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58471" y="3155576"/>
          <a:ext cx="6248507" cy="4535681"/>
        </a:xfrm>
        <a:prstGeom prst="rect">
          <a:avLst/>
        </a:prstGeom>
      </xdr:spPr>
    </xdr:pic>
    <xdr:clientData/>
  </xdr:twoCellAnchor>
  <xdr:oneCellAnchor>
    <xdr:from>
      <xdr:col>4</xdr:col>
      <xdr:colOff>49306</xdr:colOff>
      <xdr:row>27</xdr:row>
      <xdr:rowOff>42583</xdr:rowOff>
    </xdr:from>
    <xdr:ext cx="2041083" cy="454190"/>
    <xdr:pic>
      <xdr:nvPicPr>
        <xdr:cNvPr id="2" name="Picture 1">
          <a:extLst>
            <a:ext uri="{FF2B5EF4-FFF2-40B4-BE49-F238E27FC236}">
              <a16:creationId xmlns:a16="http://schemas.microsoft.com/office/drawing/2014/main" id="{B0EADE7E-1E57-4C5F-B49A-E5C579FE4B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1953" y="580465"/>
          <a:ext cx="2041083" cy="454190"/>
        </a:xfrm>
        <a:prstGeom prst="rect">
          <a:avLst/>
        </a:prstGeom>
      </xdr:spPr>
    </xdr:pic>
    <xdr:clientData/>
  </xdr:oneCellAnchor>
  <xdr:twoCellAnchor>
    <xdr:from>
      <xdr:col>5</xdr:col>
      <xdr:colOff>107512</xdr:colOff>
      <xdr:row>47</xdr:row>
      <xdr:rowOff>57822</xdr:rowOff>
    </xdr:from>
    <xdr:to>
      <xdr:col>6</xdr:col>
      <xdr:colOff>134471</xdr:colOff>
      <xdr:row>47</xdr:row>
      <xdr:rowOff>134471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8BFE8065-1A56-46FB-A6D4-3E118506A8A4}"/>
            </a:ext>
          </a:extLst>
        </xdr:cNvPr>
        <xdr:cNvCxnSpPr>
          <a:stCxn id="5" idx="3"/>
        </xdr:cNvCxnSpPr>
      </xdr:nvCxnSpPr>
      <xdr:spPr>
        <a:xfrm>
          <a:off x="1344641" y="3518198"/>
          <a:ext cx="636559" cy="76649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112955</xdr:colOff>
      <xdr:row>45</xdr:row>
      <xdr:rowOff>133573</xdr:rowOff>
    </xdr:from>
    <xdr:to>
      <xdr:col>5</xdr:col>
      <xdr:colOff>107512</xdr:colOff>
      <xdr:row>48</xdr:row>
      <xdr:rowOff>161363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2A9456B5-0AE5-47C1-ACE1-3F9241798BAB}"/>
            </a:ext>
          </a:extLst>
        </xdr:cNvPr>
        <xdr:cNvSpPr txBox="1"/>
      </xdr:nvSpPr>
      <xdr:spPr>
        <a:xfrm>
          <a:off x="112955" y="3235361"/>
          <a:ext cx="1231686" cy="56567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Jump</a:t>
          </a:r>
          <a:r>
            <a:rPr lang="en-AU" sz="1000" baseline="0"/>
            <a:t> to the first study record in the application</a:t>
          </a:r>
        </a:p>
      </xdr:txBody>
    </xdr:sp>
    <xdr:clientData/>
  </xdr:twoCellAnchor>
  <xdr:twoCellAnchor>
    <xdr:from>
      <xdr:col>5</xdr:col>
      <xdr:colOff>270759</xdr:colOff>
      <xdr:row>43</xdr:row>
      <xdr:rowOff>91889</xdr:rowOff>
    </xdr:from>
    <xdr:to>
      <xdr:col>7</xdr:col>
      <xdr:colOff>112059</xdr:colOff>
      <xdr:row>47</xdr:row>
      <xdr:rowOff>112059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D31754D8-A51F-4398-95FF-49744C3C4458}"/>
            </a:ext>
          </a:extLst>
        </xdr:cNvPr>
        <xdr:cNvCxnSpPr>
          <a:stCxn id="7" idx="2"/>
        </xdr:cNvCxnSpPr>
      </xdr:nvCxnSpPr>
      <xdr:spPr>
        <a:xfrm>
          <a:off x="1503406" y="2826124"/>
          <a:ext cx="1051535" cy="737347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281828</xdr:colOff>
      <xdr:row>40</xdr:row>
      <xdr:rowOff>149039</xdr:rowOff>
    </xdr:from>
    <xdr:to>
      <xdr:col>6</xdr:col>
      <xdr:colOff>276385</xdr:colOff>
      <xdr:row>43</xdr:row>
      <xdr:rowOff>95699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2DB1FC6D-E624-4CEB-AAB7-BC54273E376D}"/>
            </a:ext>
          </a:extLst>
        </xdr:cNvPr>
        <xdr:cNvSpPr txBox="1"/>
      </xdr:nvSpPr>
      <xdr:spPr>
        <a:xfrm>
          <a:off x="891428" y="2244539"/>
          <a:ext cx="1213757" cy="5181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Moves back one</a:t>
          </a:r>
          <a:r>
            <a:rPr lang="en-AU" sz="1000" baseline="0"/>
            <a:t> entry</a:t>
          </a:r>
        </a:p>
      </xdr:txBody>
    </xdr:sp>
    <xdr:clientData/>
  </xdr:twoCellAnchor>
  <xdr:twoCellAnchor>
    <xdr:from>
      <xdr:col>6</xdr:col>
      <xdr:colOff>437031</xdr:colOff>
      <xdr:row>39</xdr:row>
      <xdr:rowOff>134470</xdr:rowOff>
    </xdr:from>
    <xdr:to>
      <xdr:col>9</xdr:col>
      <xdr:colOff>22412</xdr:colOff>
      <xdr:row>44</xdr:row>
      <xdr:rowOff>123265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8C618890-8936-431F-AB4D-2BB2D4EB104E}"/>
            </a:ext>
          </a:extLst>
        </xdr:cNvPr>
        <xdr:cNvSpPr txBox="1"/>
      </xdr:nvSpPr>
      <xdr:spPr>
        <a:xfrm>
          <a:off x="2265831" y="2039470"/>
          <a:ext cx="1414181" cy="94129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A</a:t>
          </a:r>
          <a:r>
            <a:rPr lang="en-AU" sz="1000" baseline="0"/>
            <a:t> tick box that will</a:t>
          </a:r>
          <a:endParaRPr lang="en-AU" sz="1000"/>
        </a:p>
        <a:p>
          <a:r>
            <a:rPr lang="en-AU" sz="1000"/>
            <a:t>filter the</a:t>
          </a:r>
          <a:r>
            <a:rPr lang="en-AU" sz="1000" baseline="0"/>
            <a:t> entries to only show those with Pre-commencement status</a:t>
          </a:r>
        </a:p>
        <a:p>
          <a:endParaRPr lang="en-AU" sz="1000" baseline="0"/>
        </a:p>
      </xdr:txBody>
    </xdr:sp>
    <xdr:clientData/>
  </xdr:twoCellAnchor>
  <xdr:twoCellAnchor>
    <xdr:from>
      <xdr:col>7</xdr:col>
      <xdr:colOff>534522</xdr:colOff>
      <xdr:row>44</xdr:row>
      <xdr:rowOff>125170</xdr:rowOff>
    </xdr:from>
    <xdr:to>
      <xdr:col>8</xdr:col>
      <xdr:colOff>152400</xdr:colOff>
      <xdr:row>47</xdr:row>
      <xdr:rowOff>95250</xdr:rowOff>
    </xdr:to>
    <xdr:cxnSp macro="">
      <xdr:nvCxnSpPr>
        <xdr:cNvPr id="9" name="Straight Arrow Connector 8">
          <a:extLst>
            <a:ext uri="{FF2B5EF4-FFF2-40B4-BE49-F238E27FC236}">
              <a16:creationId xmlns:a16="http://schemas.microsoft.com/office/drawing/2014/main" id="{BCE8DD0A-D786-470B-AD11-031282A5B4FF}"/>
            </a:ext>
          </a:extLst>
        </xdr:cNvPr>
        <xdr:cNvCxnSpPr>
          <a:stCxn id="8" idx="2"/>
        </xdr:cNvCxnSpPr>
      </xdr:nvCxnSpPr>
      <xdr:spPr>
        <a:xfrm>
          <a:off x="4820772" y="3249370"/>
          <a:ext cx="227478" cy="513005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9</xdr:col>
      <xdr:colOff>235324</xdr:colOff>
      <xdr:row>40</xdr:row>
      <xdr:rowOff>78440</xdr:rowOff>
    </xdr:from>
    <xdr:to>
      <xdr:col>11</xdr:col>
      <xdr:colOff>369795</xdr:colOff>
      <xdr:row>43</xdr:row>
      <xdr:rowOff>78441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EE460DE7-592F-4923-BF36-384CBA7E43F6}"/>
            </a:ext>
          </a:extLst>
        </xdr:cNvPr>
        <xdr:cNvSpPr txBox="1"/>
      </xdr:nvSpPr>
      <xdr:spPr>
        <a:xfrm>
          <a:off x="3892924" y="2173940"/>
          <a:ext cx="1353671" cy="57150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A</a:t>
          </a:r>
          <a:r>
            <a:rPr lang="en-AU" sz="1000" baseline="0"/>
            <a:t> tick box that will</a:t>
          </a:r>
          <a:endParaRPr lang="en-AU" sz="1000"/>
        </a:p>
        <a:p>
          <a:r>
            <a:rPr lang="en-AU" sz="1000" baseline="0"/>
            <a:t>skip incomplete entries</a:t>
          </a:r>
        </a:p>
      </xdr:txBody>
    </xdr:sp>
    <xdr:clientData/>
  </xdr:twoCellAnchor>
  <xdr:twoCellAnchor>
    <xdr:from>
      <xdr:col>10</xdr:col>
      <xdr:colOff>302559</xdr:colOff>
      <xdr:row>43</xdr:row>
      <xdr:rowOff>78441</xdr:rowOff>
    </xdr:from>
    <xdr:to>
      <xdr:col>10</xdr:col>
      <xdr:colOff>369794</xdr:colOff>
      <xdr:row>48</xdr:row>
      <xdr:rowOff>100853</xdr:rowOff>
    </xdr:to>
    <xdr:cxnSp macro="">
      <xdr:nvCxnSpPr>
        <xdr:cNvPr id="11" name="Straight Arrow Connector 10">
          <a:extLst>
            <a:ext uri="{FF2B5EF4-FFF2-40B4-BE49-F238E27FC236}">
              <a16:creationId xmlns:a16="http://schemas.microsoft.com/office/drawing/2014/main" id="{FDC9C887-F698-480B-9661-212340D78271}"/>
            </a:ext>
          </a:extLst>
        </xdr:cNvPr>
        <xdr:cNvCxnSpPr>
          <a:stCxn id="10" idx="2"/>
        </xdr:cNvCxnSpPr>
      </xdr:nvCxnSpPr>
      <xdr:spPr>
        <a:xfrm>
          <a:off x="4569759" y="2745441"/>
          <a:ext cx="67235" cy="974912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571499</xdr:colOff>
      <xdr:row>39</xdr:row>
      <xdr:rowOff>156883</xdr:rowOff>
    </xdr:from>
    <xdr:to>
      <xdr:col>14</xdr:col>
      <xdr:colOff>100852</xdr:colOff>
      <xdr:row>44</xdr:row>
      <xdr:rowOff>100854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870FD512-59C4-4B9B-85B6-3A771C247C56}"/>
            </a:ext>
          </a:extLst>
        </xdr:cNvPr>
        <xdr:cNvSpPr txBox="1"/>
      </xdr:nvSpPr>
      <xdr:spPr>
        <a:xfrm>
          <a:off x="5448299" y="2061883"/>
          <a:ext cx="1358153" cy="89647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A</a:t>
          </a:r>
          <a:r>
            <a:rPr lang="en-AU" sz="1000" baseline="0"/>
            <a:t> tick box that will</a:t>
          </a:r>
          <a:endParaRPr lang="en-AU" sz="1000"/>
        </a:p>
        <a:p>
          <a:r>
            <a:rPr lang="en-AU" sz="1000" baseline="0"/>
            <a:t>allow user to save their progress as soon as they clicked other forms</a:t>
          </a:r>
        </a:p>
      </xdr:txBody>
    </xdr:sp>
    <xdr:clientData/>
  </xdr:twoCellAnchor>
  <xdr:twoCellAnchor>
    <xdr:from>
      <xdr:col>12</xdr:col>
      <xdr:colOff>336176</xdr:colOff>
      <xdr:row>44</xdr:row>
      <xdr:rowOff>100854</xdr:rowOff>
    </xdr:from>
    <xdr:to>
      <xdr:col>13</xdr:col>
      <xdr:colOff>33617</xdr:colOff>
      <xdr:row>48</xdr:row>
      <xdr:rowOff>89647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7774EF1B-337A-4CE7-B3CF-8991D302040C}"/>
            </a:ext>
          </a:extLst>
        </xdr:cNvPr>
        <xdr:cNvCxnSpPr>
          <a:stCxn id="12" idx="2"/>
        </xdr:cNvCxnSpPr>
      </xdr:nvCxnSpPr>
      <xdr:spPr>
        <a:xfrm flipH="1">
          <a:off x="5822576" y="2958354"/>
          <a:ext cx="307041" cy="750793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136153</xdr:colOff>
      <xdr:row>44</xdr:row>
      <xdr:rowOff>69925</xdr:rowOff>
    </xdr:from>
    <xdr:to>
      <xdr:col>15</xdr:col>
      <xdr:colOff>140073</xdr:colOff>
      <xdr:row>48</xdr:row>
      <xdr:rowOff>59392</xdr:rowOff>
    </xdr:to>
    <xdr:cxnSp macro="">
      <xdr:nvCxnSpPr>
        <xdr:cNvPr id="14" name="Straight Arrow Connector 13">
          <a:extLst>
            <a:ext uri="{FF2B5EF4-FFF2-40B4-BE49-F238E27FC236}">
              <a16:creationId xmlns:a16="http://schemas.microsoft.com/office/drawing/2014/main" id="{A5DC5B22-7EAE-448D-AD74-67BE974549A2}"/>
            </a:ext>
          </a:extLst>
        </xdr:cNvPr>
        <xdr:cNvCxnSpPr>
          <a:stCxn id="15" idx="2"/>
        </xdr:cNvCxnSpPr>
      </xdr:nvCxnSpPr>
      <xdr:spPr>
        <a:xfrm flipH="1">
          <a:off x="6841753" y="2927425"/>
          <a:ext cx="613520" cy="751467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212911</xdr:colOff>
      <xdr:row>41</xdr:row>
      <xdr:rowOff>123265</xdr:rowOff>
    </xdr:from>
    <xdr:to>
      <xdr:col>16</xdr:col>
      <xdr:colOff>67236</xdr:colOff>
      <xdr:row>44</xdr:row>
      <xdr:rowOff>69925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94D022D8-26F0-41F3-82C2-CCF978FC13CD}"/>
            </a:ext>
          </a:extLst>
        </xdr:cNvPr>
        <xdr:cNvSpPr txBox="1"/>
      </xdr:nvSpPr>
      <xdr:spPr>
        <a:xfrm>
          <a:off x="6918511" y="2409265"/>
          <a:ext cx="1073525" cy="5181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Moves forward one</a:t>
          </a:r>
          <a:r>
            <a:rPr lang="en-AU" sz="1000" baseline="0"/>
            <a:t> entry</a:t>
          </a:r>
        </a:p>
      </xdr:txBody>
    </xdr:sp>
    <xdr:clientData/>
  </xdr:twoCellAnchor>
  <xdr:twoCellAnchor>
    <xdr:from>
      <xdr:col>16</xdr:col>
      <xdr:colOff>212911</xdr:colOff>
      <xdr:row>38</xdr:row>
      <xdr:rowOff>78440</xdr:rowOff>
    </xdr:from>
    <xdr:to>
      <xdr:col>19</xdr:col>
      <xdr:colOff>56030</xdr:colOff>
      <xdr:row>43</xdr:row>
      <xdr:rowOff>44823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229A5C86-61CD-4B3F-BCC7-08924A8A9BF3}"/>
            </a:ext>
          </a:extLst>
        </xdr:cNvPr>
        <xdr:cNvSpPr txBox="1"/>
      </xdr:nvSpPr>
      <xdr:spPr>
        <a:xfrm>
          <a:off x="8137711" y="1792940"/>
          <a:ext cx="1671919" cy="91888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Close</a:t>
          </a:r>
          <a:r>
            <a:rPr lang="en-AU" sz="1000" baseline="0"/>
            <a:t> form</a:t>
          </a:r>
        </a:p>
        <a:p>
          <a:endParaRPr lang="en-AU" sz="1000" baseline="0"/>
        </a:p>
        <a:p>
          <a:r>
            <a:rPr lang="en-AU" sz="1000" baseline="0"/>
            <a:t>This button will not save any changes so it is advised not to use this to close the form</a:t>
          </a:r>
        </a:p>
        <a:p>
          <a:endParaRPr lang="en-AU" sz="1000" baseline="0"/>
        </a:p>
      </xdr:txBody>
    </xdr:sp>
    <xdr:clientData/>
  </xdr:twoCellAnchor>
  <xdr:twoCellAnchor>
    <xdr:from>
      <xdr:col>15</xdr:col>
      <xdr:colOff>437029</xdr:colOff>
      <xdr:row>43</xdr:row>
      <xdr:rowOff>44823</xdr:rowOff>
    </xdr:from>
    <xdr:to>
      <xdr:col>17</xdr:col>
      <xdr:colOff>437029</xdr:colOff>
      <xdr:row>46</xdr:row>
      <xdr:rowOff>89647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68DE8437-B42C-4775-B9DA-85FC8AF813DA}"/>
            </a:ext>
          </a:extLst>
        </xdr:cNvPr>
        <xdr:cNvCxnSpPr>
          <a:stCxn id="16" idx="2"/>
        </xdr:cNvCxnSpPr>
      </xdr:nvCxnSpPr>
      <xdr:spPr>
        <a:xfrm flipH="1">
          <a:off x="7752229" y="2711823"/>
          <a:ext cx="1219200" cy="616324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156882</xdr:colOff>
      <xdr:row>47</xdr:row>
      <xdr:rowOff>12551</xdr:rowOff>
    </xdr:from>
    <xdr:to>
      <xdr:col>16</xdr:col>
      <xdr:colOff>515471</xdr:colOff>
      <xdr:row>48</xdr:row>
      <xdr:rowOff>134471</xdr:rowOff>
    </xdr:to>
    <xdr:cxnSp macro="">
      <xdr:nvCxnSpPr>
        <xdr:cNvPr id="18" name="Straight Arrow Connector 17">
          <a:extLst>
            <a:ext uri="{FF2B5EF4-FFF2-40B4-BE49-F238E27FC236}">
              <a16:creationId xmlns:a16="http://schemas.microsoft.com/office/drawing/2014/main" id="{24081E1A-311F-466C-AB37-BA93D081FA27}"/>
            </a:ext>
          </a:extLst>
        </xdr:cNvPr>
        <xdr:cNvCxnSpPr>
          <a:stCxn id="19" idx="1"/>
        </xdr:cNvCxnSpPr>
      </xdr:nvCxnSpPr>
      <xdr:spPr>
        <a:xfrm flipH="1">
          <a:off x="7472082" y="3441551"/>
          <a:ext cx="968189" cy="312420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515471</xdr:colOff>
      <xdr:row>45</xdr:row>
      <xdr:rowOff>134471</xdr:rowOff>
    </xdr:from>
    <xdr:to>
      <xdr:col>18</xdr:col>
      <xdr:colOff>510027</xdr:colOff>
      <xdr:row>48</xdr:row>
      <xdr:rowOff>81131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1742698D-EC67-4030-93D3-2F245BEF117C}"/>
            </a:ext>
          </a:extLst>
        </xdr:cNvPr>
        <xdr:cNvSpPr txBox="1"/>
      </xdr:nvSpPr>
      <xdr:spPr>
        <a:xfrm>
          <a:off x="8440271" y="3182471"/>
          <a:ext cx="1213756" cy="5181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Jump</a:t>
          </a:r>
          <a:r>
            <a:rPr lang="en-AU" sz="1000" baseline="0"/>
            <a:t> to the last project in the entry</a:t>
          </a:r>
        </a:p>
      </xdr:txBody>
    </xdr:sp>
    <xdr:clientData/>
  </xdr:twoCellAnchor>
  <xdr:twoCellAnchor>
    <xdr:from>
      <xdr:col>16</xdr:col>
      <xdr:colOff>235325</xdr:colOff>
      <xdr:row>49</xdr:row>
      <xdr:rowOff>6723</xdr:rowOff>
    </xdr:from>
    <xdr:to>
      <xdr:col>19</xdr:col>
      <xdr:colOff>537884</xdr:colOff>
      <xdr:row>52</xdr:row>
      <xdr:rowOff>67234</xdr:rowOff>
    </xdr:to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8D42DD33-6410-4E3B-A5DB-D03BCD218383}"/>
            </a:ext>
          </a:extLst>
        </xdr:cNvPr>
        <xdr:cNvSpPr txBox="1"/>
      </xdr:nvSpPr>
      <xdr:spPr>
        <a:xfrm>
          <a:off x="8160125" y="3816723"/>
          <a:ext cx="2131359" cy="63201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 baseline="0"/>
            <a:t>Shows study names or can be used as a searching mechanism to find the study that the client want to review</a:t>
          </a:r>
        </a:p>
      </xdr:txBody>
    </xdr:sp>
    <xdr:clientData/>
  </xdr:twoCellAnchor>
  <xdr:twoCellAnchor>
    <xdr:from>
      <xdr:col>14</xdr:col>
      <xdr:colOff>257735</xdr:colOff>
      <xdr:row>50</xdr:row>
      <xdr:rowOff>132229</xdr:rowOff>
    </xdr:from>
    <xdr:to>
      <xdr:col>16</xdr:col>
      <xdr:colOff>235325</xdr:colOff>
      <xdr:row>51</xdr:row>
      <xdr:rowOff>123265</xdr:rowOff>
    </xdr:to>
    <xdr:cxnSp macro="">
      <xdr:nvCxnSpPr>
        <xdr:cNvPr id="21" name="Straight Arrow Connector 20">
          <a:extLst>
            <a:ext uri="{FF2B5EF4-FFF2-40B4-BE49-F238E27FC236}">
              <a16:creationId xmlns:a16="http://schemas.microsoft.com/office/drawing/2014/main" id="{58F5C556-2591-4FEB-A62F-96625E09DB86}"/>
            </a:ext>
          </a:extLst>
        </xdr:cNvPr>
        <xdr:cNvCxnSpPr>
          <a:stCxn id="20" idx="1"/>
        </xdr:cNvCxnSpPr>
      </xdr:nvCxnSpPr>
      <xdr:spPr>
        <a:xfrm flipH="1">
          <a:off x="6963335" y="4132729"/>
          <a:ext cx="1196790" cy="181536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16</xdr:col>
      <xdr:colOff>493059</xdr:colOff>
      <xdr:row>53</xdr:row>
      <xdr:rowOff>134471</xdr:rowOff>
    </xdr:from>
    <xdr:to>
      <xdr:col>18</xdr:col>
      <xdr:colOff>487615</xdr:colOff>
      <xdr:row>56</xdr:row>
      <xdr:rowOff>168089</xdr:rowOff>
    </xdr:to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C7327870-1F25-4E9E-B685-FB4730D904B6}"/>
            </a:ext>
          </a:extLst>
        </xdr:cNvPr>
        <xdr:cNvSpPr txBox="1"/>
      </xdr:nvSpPr>
      <xdr:spPr>
        <a:xfrm>
          <a:off x="8417859" y="4706471"/>
          <a:ext cx="1213756" cy="60511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Show the status of the</a:t>
          </a:r>
          <a:r>
            <a:rPr lang="en-AU" sz="1000" baseline="0"/>
            <a:t> study being previewed</a:t>
          </a:r>
        </a:p>
      </xdr:txBody>
    </xdr:sp>
    <xdr:clientData/>
  </xdr:twoCellAnchor>
  <xdr:twoCellAnchor>
    <xdr:from>
      <xdr:col>5</xdr:col>
      <xdr:colOff>190500</xdr:colOff>
      <xdr:row>52</xdr:row>
      <xdr:rowOff>78441</xdr:rowOff>
    </xdr:from>
    <xdr:to>
      <xdr:col>7</xdr:col>
      <xdr:colOff>313764</xdr:colOff>
      <xdr:row>53</xdr:row>
      <xdr:rowOff>33618</xdr:rowOff>
    </xdr:to>
    <xdr:cxnSp macro="">
      <xdr:nvCxnSpPr>
        <xdr:cNvPr id="23" name="Straight Arrow Connector 22">
          <a:extLst>
            <a:ext uri="{FF2B5EF4-FFF2-40B4-BE49-F238E27FC236}">
              <a16:creationId xmlns:a16="http://schemas.microsoft.com/office/drawing/2014/main" id="{F58EAC67-C54D-478A-AB66-F0682CF7635C}"/>
            </a:ext>
          </a:extLst>
        </xdr:cNvPr>
        <xdr:cNvCxnSpPr/>
      </xdr:nvCxnSpPr>
      <xdr:spPr>
        <a:xfrm>
          <a:off x="1409700" y="4459941"/>
          <a:ext cx="1342464" cy="145677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123265</xdr:colOff>
      <xdr:row>53</xdr:row>
      <xdr:rowOff>145676</xdr:rowOff>
    </xdr:from>
    <xdr:to>
      <xdr:col>16</xdr:col>
      <xdr:colOff>493059</xdr:colOff>
      <xdr:row>55</xdr:row>
      <xdr:rowOff>56030</xdr:rowOff>
    </xdr:to>
    <xdr:cxnSp macro="">
      <xdr:nvCxnSpPr>
        <xdr:cNvPr id="24" name="Straight Arrow Connector 23">
          <a:extLst>
            <a:ext uri="{FF2B5EF4-FFF2-40B4-BE49-F238E27FC236}">
              <a16:creationId xmlns:a16="http://schemas.microsoft.com/office/drawing/2014/main" id="{46440268-FD18-440E-AA73-68B52EADB7EF}"/>
            </a:ext>
          </a:extLst>
        </xdr:cNvPr>
        <xdr:cNvCxnSpPr>
          <a:stCxn id="22" idx="1"/>
        </xdr:cNvCxnSpPr>
      </xdr:nvCxnSpPr>
      <xdr:spPr>
        <a:xfrm flipH="1" flipV="1">
          <a:off x="6828865" y="4717676"/>
          <a:ext cx="1588994" cy="291354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89646</xdr:colOff>
      <xdr:row>49</xdr:row>
      <xdr:rowOff>134470</xdr:rowOff>
    </xdr:from>
    <xdr:to>
      <xdr:col>5</xdr:col>
      <xdr:colOff>173850</xdr:colOff>
      <xdr:row>53</xdr:row>
      <xdr:rowOff>33617</xdr:rowOff>
    </xdr:to>
    <xdr:sp macro="" textlink="">
      <xdr:nvSpPr>
        <xdr:cNvPr id="25" name="TextBox 24">
          <a:extLst>
            <a:ext uri="{FF2B5EF4-FFF2-40B4-BE49-F238E27FC236}">
              <a16:creationId xmlns:a16="http://schemas.microsoft.com/office/drawing/2014/main" id="{AA65F545-3509-45A1-9135-1F168BAC6141}"/>
            </a:ext>
          </a:extLst>
        </xdr:cNvPr>
        <xdr:cNvSpPr txBox="1"/>
      </xdr:nvSpPr>
      <xdr:spPr>
        <a:xfrm>
          <a:off x="89646" y="3944470"/>
          <a:ext cx="1303404" cy="66114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Show</a:t>
          </a:r>
          <a:r>
            <a:rPr lang="en-AU" sz="1000" baseline="0"/>
            <a:t> the protocol number for the selected study entry</a:t>
          </a:r>
        </a:p>
      </xdr:txBody>
    </xdr:sp>
    <xdr:clientData/>
  </xdr:twoCellAnchor>
  <xdr:twoCellAnchor>
    <xdr:from>
      <xdr:col>3</xdr:col>
      <xdr:colOff>85161</xdr:colOff>
      <xdr:row>53</xdr:row>
      <xdr:rowOff>107577</xdr:rowOff>
    </xdr:from>
    <xdr:to>
      <xdr:col>5</xdr:col>
      <xdr:colOff>169365</xdr:colOff>
      <xdr:row>57</xdr:row>
      <xdr:rowOff>6724</xdr:rowOff>
    </xdr:to>
    <xdr:sp macro="" textlink="">
      <xdr:nvSpPr>
        <xdr:cNvPr id="26" name="TextBox 25">
          <a:extLst>
            <a:ext uri="{FF2B5EF4-FFF2-40B4-BE49-F238E27FC236}">
              <a16:creationId xmlns:a16="http://schemas.microsoft.com/office/drawing/2014/main" id="{8C579F95-E187-4D2C-9B59-73C46E9F9427}"/>
            </a:ext>
          </a:extLst>
        </xdr:cNvPr>
        <xdr:cNvSpPr txBox="1"/>
      </xdr:nvSpPr>
      <xdr:spPr>
        <a:xfrm>
          <a:off x="85161" y="4679577"/>
          <a:ext cx="1303404" cy="66114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 baseline="0"/>
            <a:t>States the sponsor for the study previewed</a:t>
          </a:r>
        </a:p>
      </xdr:txBody>
    </xdr:sp>
    <xdr:clientData/>
  </xdr:twoCellAnchor>
  <xdr:twoCellAnchor>
    <xdr:from>
      <xdr:col>5</xdr:col>
      <xdr:colOff>179294</xdr:colOff>
      <xdr:row>55</xdr:row>
      <xdr:rowOff>44824</xdr:rowOff>
    </xdr:from>
    <xdr:to>
      <xdr:col>7</xdr:col>
      <xdr:colOff>246529</xdr:colOff>
      <xdr:row>56</xdr:row>
      <xdr:rowOff>22413</xdr:rowOff>
    </xdr:to>
    <xdr:cxnSp macro="">
      <xdr:nvCxnSpPr>
        <xdr:cNvPr id="27" name="Straight Arrow Connector 26">
          <a:extLst>
            <a:ext uri="{FF2B5EF4-FFF2-40B4-BE49-F238E27FC236}">
              <a16:creationId xmlns:a16="http://schemas.microsoft.com/office/drawing/2014/main" id="{0D504BB1-EB7C-49C0-8396-4BD3FE8ECEC4}"/>
            </a:ext>
          </a:extLst>
        </xdr:cNvPr>
        <xdr:cNvCxnSpPr/>
      </xdr:nvCxnSpPr>
      <xdr:spPr>
        <a:xfrm flipV="1">
          <a:off x="1398494" y="4997824"/>
          <a:ext cx="1286435" cy="168089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504266</xdr:colOff>
      <xdr:row>58</xdr:row>
      <xdr:rowOff>33618</xdr:rowOff>
    </xdr:from>
    <xdr:to>
      <xdr:col>18</xdr:col>
      <xdr:colOff>588469</xdr:colOff>
      <xdr:row>61</xdr:row>
      <xdr:rowOff>123265</xdr:rowOff>
    </xdr:to>
    <xdr:sp macro="" textlink="">
      <xdr:nvSpPr>
        <xdr:cNvPr id="28" name="TextBox 27">
          <a:extLst>
            <a:ext uri="{FF2B5EF4-FFF2-40B4-BE49-F238E27FC236}">
              <a16:creationId xmlns:a16="http://schemas.microsoft.com/office/drawing/2014/main" id="{17332A1F-FFB3-4342-B527-601570606F3C}"/>
            </a:ext>
          </a:extLst>
        </xdr:cNvPr>
        <xdr:cNvSpPr txBox="1"/>
      </xdr:nvSpPr>
      <xdr:spPr>
        <a:xfrm>
          <a:off x="8429066" y="5558118"/>
          <a:ext cx="1303403" cy="66114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 baseline="0"/>
            <a:t>Button used to search the study name in the entries</a:t>
          </a:r>
        </a:p>
      </xdr:txBody>
    </xdr:sp>
    <xdr:clientData/>
  </xdr:twoCellAnchor>
  <xdr:twoCellAnchor>
    <xdr:from>
      <xdr:col>15</xdr:col>
      <xdr:colOff>179294</xdr:colOff>
      <xdr:row>59</xdr:row>
      <xdr:rowOff>67235</xdr:rowOff>
    </xdr:from>
    <xdr:to>
      <xdr:col>16</xdr:col>
      <xdr:colOff>504266</xdr:colOff>
      <xdr:row>59</xdr:row>
      <xdr:rowOff>173692</xdr:rowOff>
    </xdr:to>
    <xdr:cxnSp macro="">
      <xdr:nvCxnSpPr>
        <xdr:cNvPr id="29" name="Straight Arrow Connector 28">
          <a:extLst>
            <a:ext uri="{FF2B5EF4-FFF2-40B4-BE49-F238E27FC236}">
              <a16:creationId xmlns:a16="http://schemas.microsoft.com/office/drawing/2014/main" id="{722FA9B9-84FA-44BD-8BE1-40A90C646A2D}"/>
            </a:ext>
          </a:extLst>
        </xdr:cNvPr>
        <xdr:cNvCxnSpPr>
          <a:stCxn id="28" idx="1"/>
        </xdr:cNvCxnSpPr>
      </xdr:nvCxnSpPr>
      <xdr:spPr>
        <a:xfrm flipH="1" flipV="1">
          <a:off x="7494494" y="5782235"/>
          <a:ext cx="934572" cy="106457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230843</xdr:colOff>
      <xdr:row>62</xdr:row>
      <xdr:rowOff>17928</xdr:rowOff>
    </xdr:from>
    <xdr:to>
      <xdr:col>19</xdr:col>
      <xdr:colOff>22412</xdr:colOff>
      <xdr:row>65</xdr:row>
      <xdr:rowOff>190499</xdr:rowOff>
    </xdr:to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61FC1EAE-DF40-48F4-A3AF-1426E4790C9A}"/>
            </a:ext>
          </a:extLst>
        </xdr:cNvPr>
        <xdr:cNvSpPr txBox="1"/>
      </xdr:nvSpPr>
      <xdr:spPr>
        <a:xfrm>
          <a:off x="8155643" y="6304428"/>
          <a:ext cx="1620369" cy="74407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 baseline="0"/>
            <a:t>Shows similar entry names to the one inserted on the study name box when search  button is clicked.</a:t>
          </a:r>
        </a:p>
      </xdr:txBody>
    </xdr:sp>
    <xdr:clientData/>
  </xdr:twoCellAnchor>
  <xdr:twoCellAnchor>
    <xdr:from>
      <xdr:col>14</xdr:col>
      <xdr:colOff>141196</xdr:colOff>
      <xdr:row>62</xdr:row>
      <xdr:rowOff>51546</xdr:rowOff>
    </xdr:from>
    <xdr:to>
      <xdr:col>16</xdr:col>
      <xdr:colOff>230843</xdr:colOff>
      <xdr:row>64</xdr:row>
      <xdr:rowOff>8964</xdr:rowOff>
    </xdr:to>
    <xdr:cxnSp macro="">
      <xdr:nvCxnSpPr>
        <xdr:cNvPr id="31" name="Straight Arrow Connector 30">
          <a:extLst>
            <a:ext uri="{FF2B5EF4-FFF2-40B4-BE49-F238E27FC236}">
              <a16:creationId xmlns:a16="http://schemas.microsoft.com/office/drawing/2014/main" id="{F959A0BD-FDD5-4F2B-9A95-A41DD16A710F}"/>
            </a:ext>
          </a:extLst>
        </xdr:cNvPr>
        <xdr:cNvCxnSpPr>
          <a:stCxn id="30" idx="1"/>
        </xdr:cNvCxnSpPr>
      </xdr:nvCxnSpPr>
      <xdr:spPr>
        <a:xfrm flipH="1" flipV="1">
          <a:off x="6846796" y="6338046"/>
          <a:ext cx="1308847" cy="338418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51551</xdr:colOff>
      <xdr:row>66</xdr:row>
      <xdr:rowOff>118783</xdr:rowOff>
    </xdr:from>
    <xdr:to>
      <xdr:col>16</xdr:col>
      <xdr:colOff>235322</xdr:colOff>
      <xdr:row>70</xdr:row>
      <xdr:rowOff>33617</xdr:rowOff>
    </xdr:to>
    <xdr:cxnSp macro="">
      <xdr:nvCxnSpPr>
        <xdr:cNvPr id="32" name="Straight Arrow Connector 31">
          <a:extLst>
            <a:ext uri="{FF2B5EF4-FFF2-40B4-BE49-F238E27FC236}">
              <a16:creationId xmlns:a16="http://schemas.microsoft.com/office/drawing/2014/main" id="{03F23DF2-EE50-4066-8097-587549419D55}"/>
            </a:ext>
          </a:extLst>
        </xdr:cNvPr>
        <xdr:cNvCxnSpPr>
          <a:stCxn id="33" idx="1"/>
        </xdr:cNvCxnSpPr>
      </xdr:nvCxnSpPr>
      <xdr:spPr>
        <a:xfrm flipH="1" flipV="1">
          <a:off x="6757151" y="7167283"/>
          <a:ext cx="1402971" cy="676834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235322</xdr:colOff>
      <xdr:row>66</xdr:row>
      <xdr:rowOff>190499</xdr:rowOff>
    </xdr:from>
    <xdr:to>
      <xdr:col>20</xdr:col>
      <xdr:colOff>459441</xdr:colOff>
      <xdr:row>73</xdr:row>
      <xdr:rowOff>67234</xdr:rowOff>
    </xdr:to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4A96EAD9-936F-4B9F-97DB-06F228D8629E}"/>
            </a:ext>
          </a:extLst>
        </xdr:cNvPr>
        <xdr:cNvSpPr txBox="1"/>
      </xdr:nvSpPr>
      <xdr:spPr>
        <a:xfrm>
          <a:off x="8160122" y="7238999"/>
          <a:ext cx="2662519" cy="121023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 baseline="0"/>
            <a:t>Delete selected entry from the active entry batch.</a:t>
          </a:r>
        </a:p>
        <a:p>
          <a:endParaRPr lang="en-AU" sz="1000" baseline="0"/>
        </a:p>
        <a:p>
          <a:r>
            <a:rPr lang="en-AU" sz="1000" baseline="0"/>
            <a:t>This will result in the data to be kept hidden with deleted status and will not show up anymore. Data will still be kept hidden in the database</a:t>
          </a:r>
        </a:p>
      </xdr:txBody>
    </xdr:sp>
    <xdr:clientData/>
  </xdr:twoCellAnchor>
  <xdr:twoCellAnchor>
    <xdr:from>
      <xdr:col>14</xdr:col>
      <xdr:colOff>186014</xdr:colOff>
      <xdr:row>73</xdr:row>
      <xdr:rowOff>156882</xdr:rowOff>
    </xdr:from>
    <xdr:to>
      <xdr:col>17</xdr:col>
      <xdr:colOff>201706</xdr:colOff>
      <xdr:row>77</xdr:row>
      <xdr:rowOff>156882</xdr:rowOff>
    </xdr:to>
    <xdr:sp macro="" textlink="">
      <xdr:nvSpPr>
        <xdr:cNvPr id="34" name="TextBox 33">
          <a:extLst>
            <a:ext uri="{FF2B5EF4-FFF2-40B4-BE49-F238E27FC236}">
              <a16:creationId xmlns:a16="http://schemas.microsoft.com/office/drawing/2014/main" id="{B711C212-1DDB-40CA-A0B8-97DD032217A5}"/>
            </a:ext>
          </a:extLst>
        </xdr:cNvPr>
        <xdr:cNvSpPr txBox="1"/>
      </xdr:nvSpPr>
      <xdr:spPr>
        <a:xfrm>
          <a:off x="6891614" y="8538882"/>
          <a:ext cx="1844492" cy="762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Close</a:t>
          </a:r>
          <a:r>
            <a:rPr lang="en-A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form</a:t>
          </a:r>
        </a:p>
        <a:p>
          <a:endParaRPr lang="en-ID" sz="1000">
            <a:effectLst/>
          </a:endParaRPr>
        </a:p>
        <a:p>
          <a:r>
            <a:rPr lang="en-A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This button will not save any changes </a:t>
          </a:r>
          <a:endParaRPr lang="en-ID" sz="1000">
            <a:effectLst/>
          </a:endParaRPr>
        </a:p>
      </xdr:txBody>
    </xdr:sp>
    <xdr:clientData/>
  </xdr:twoCellAnchor>
  <xdr:twoCellAnchor>
    <xdr:from>
      <xdr:col>14</xdr:col>
      <xdr:colOff>44824</xdr:colOff>
      <xdr:row>68</xdr:row>
      <xdr:rowOff>123265</xdr:rowOff>
    </xdr:from>
    <xdr:to>
      <xdr:col>15</xdr:col>
      <xdr:colOff>496419</xdr:colOff>
      <xdr:row>73</xdr:row>
      <xdr:rowOff>156882</xdr:rowOff>
    </xdr:to>
    <xdr:cxnSp macro="">
      <xdr:nvCxnSpPr>
        <xdr:cNvPr id="35" name="Straight Arrow Connector 34">
          <a:extLst>
            <a:ext uri="{FF2B5EF4-FFF2-40B4-BE49-F238E27FC236}">
              <a16:creationId xmlns:a16="http://schemas.microsoft.com/office/drawing/2014/main" id="{08944613-0AB5-4CF7-8810-386F2ECB10B2}"/>
            </a:ext>
          </a:extLst>
        </xdr:cNvPr>
        <xdr:cNvCxnSpPr>
          <a:stCxn id="34" idx="0"/>
        </xdr:cNvCxnSpPr>
      </xdr:nvCxnSpPr>
      <xdr:spPr>
        <a:xfrm flipH="1" flipV="1">
          <a:off x="6750424" y="7552765"/>
          <a:ext cx="1061195" cy="986117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336177</xdr:colOff>
      <xdr:row>68</xdr:row>
      <xdr:rowOff>89647</xdr:rowOff>
    </xdr:from>
    <xdr:to>
      <xdr:col>12</xdr:col>
      <xdr:colOff>312642</xdr:colOff>
      <xdr:row>72</xdr:row>
      <xdr:rowOff>129988</xdr:rowOff>
    </xdr:to>
    <xdr:cxnSp macro="">
      <xdr:nvCxnSpPr>
        <xdr:cNvPr id="36" name="Straight Arrow Connector 35">
          <a:extLst>
            <a:ext uri="{FF2B5EF4-FFF2-40B4-BE49-F238E27FC236}">
              <a16:creationId xmlns:a16="http://schemas.microsoft.com/office/drawing/2014/main" id="{81730F51-075D-4331-A921-2ABB527B6D48}"/>
            </a:ext>
          </a:extLst>
        </xdr:cNvPr>
        <xdr:cNvCxnSpPr>
          <a:stCxn id="37" idx="0"/>
        </xdr:cNvCxnSpPr>
      </xdr:nvCxnSpPr>
      <xdr:spPr>
        <a:xfrm flipH="1" flipV="1">
          <a:off x="5212977" y="7519147"/>
          <a:ext cx="586065" cy="802341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528913</xdr:colOff>
      <xdr:row>72</xdr:row>
      <xdr:rowOff>129988</xdr:rowOff>
    </xdr:from>
    <xdr:to>
      <xdr:col>14</xdr:col>
      <xdr:colOff>96370</xdr:colOff>
      <xdr:row>77</xdr:row>
      <xdr:rowOff>123263</xdr:rowOff>
    </xdr:to>
    <xdr:sp macro="" textlink="">
      <xdr:nvSpPr>
        <xdr:cNvPr id="37" name="TextBox 36">
          <a:extLst>
            <a:ext uri="{FF2B5EF4-FFF2-40B4-BE49-F238E27FC236}">
              <a16:creationId xmlns:a16="http://schemas.microsoft.com/office/drawing/2014/main" id="{54165F8B-8BAF-4079-BE96-58BE82E113DF}"/>
            </a:ext>
          </a:extLst>
        </xdr:cNvPr>
        <xdr:cNvSpPr txBox="1"/>
      </xdr:nvSpPr>
      <xdr:spPr>
        <a:xfrm>
          <a:off x="4796113" y="8321488"/>
          <a:ext cx="2005857" cy="9457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Edit Record</a:t>
          </a:r>
          <a:endParaRPr lang="en-A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ID" sz="1000">
            <a:effectLst/>
          </a:endParaRPr>
        </a:p>
        <a:p>
          <a:r>
            <a:rPr lang="en-A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This button will open up userform that will allow changes to the entry</a:t>
          </a:r>
          <a:endParaRPr lang="en-ID" sz="1000">
            <a:effectLst/>
          </a:endParaRPr>
        </a:p>
      </xdr:txBody>
    </xdr:sp>
    <xdr:clientData/>
  </xdr:twoCellAnchor>
  <xdr:twoCellAnchor>
    <xdr:from>
      <xdr:col>7</xdr:col>
      <xdr:colOff>277903</xdr:colOff>
      <xdr:row>72</xdr:row>
      <xdr:rowOff>159123</xdr:rowOff>
    </xdr:from>
    <xdr:to>
      <xdr:col>10</xdr:col>
      <xdr:colOff>450477</xdr:colOff>
      <xdr:row>78</xdr:row>
      <xdr:rowOff>156882</xdr:rowOff>
    </xdr:to>
    <xdr:sp macro="" textlink="">
      <xdr:nvSpPr>
        <xdr:cNvPr id="38" name="TextBox 37">
          <a:extLst>
            <a:ext uri="{FF2B5EF4-FFF2-40B4-BE49-F238E27FC236}">
              <a16:creationId xmlns:a16="http://schemas.microsoft.com/office/drawing/2014/main" id="{05132A7D-B1D8-402C-8256-54AAF2579EA3}"/>
            </a:ext>
          </a:extLst>
        </xdr:cNvPr>
        <xdr:cNvSpPr txBox="1"/>
      </xdr:nvSpPr>
      <xdr:spPr>
        <a:xfrm>
          <a:off x="2716303" y="8350623"/>
          <a:ext cx="2001374" cy="114075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View Reminders</a:t>
          </a:r>
          <a:endParaRPr lang="en-A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ID" sz="1000">
            <a:effectLst/>
          </a:endParaRPr>
        </a:p>
        <a:p>
          <a:r>
            <a:rPr lang="en-A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This button will open up userform that will show the reminders written by previous user who edit the entry</a:t>
          </a:r>
          <a:endParaRPr lang="en-ID" sz="1000">
            <a:effectLst/>
          </a:endParaRPr>
        </a:p>
      </xdr:txBody>
    </xdr:sp>
    <xdr:clientData/>
  </xdr:twoCellAnchor>
  <xdr:twoCellAnchor>
    <xdr:from>
      <xdr:col>9</xdr:col>
      <xdr:colOff>61632</xdr:colOff>
      <xdr:row>66</xdr:row>
      <xdr:rowOff>134470</xdr:rowOff>
    </xdr:from>
    <xdr:to>
      <xdr:col>10</xdr:col>
      <xdr:colOff>89647</xdr:colOff>
      <xdr:row>72</xdr:row>
      <xdr:rowOff>159123</xdr:rowOff>
    </xdr:to>
    <xdr:cxnSp macro="">
      <xdr:nvCxnSpPr>
        <xdr:cNvPr id="39" name="Straight Arrow Connector 38">
          <a:extLst>
            <a:ext uri="{FF2B5EF4-FFF2-40B4-BE49-F238E27FC236}">
              <a16:creationId xmlns:a16="http://schemas.microsoft.com/office/drawing/2014/main" id="{DE3A70DC-82EC-4F19-B7A2-512F3EA588AB}"/>
            </a:ext>
          </a:extLst>
        </xdr:cNvPr>
        <xdr:cNvCxnSpPr>
          <a:stCxn id="38" idx="0"/>
        </xdr:cNvCxnSpPr>
      </xdr:nvCxnSpPr>
      <xdr:spPr>
        <a:xfrm flipV="1">
          <a:off x="3719232" y="7182970"/>
          <a:ext cx="637615" cy="1167653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438150</xdr:colOff>
      <xdr:row>68</xdr:row>
      <xdr:rowOff>179297</xdr:rowOff>
    </xdr:from>
    <xdr:to>
      <xdr:col>7</xdr:col>
      <xdr:colOff>246529</xdr:colOff>
      <xdr:row>72</xdr:row>
      <xdr:rowOff>87405</xdr:rowOff>
    </xdr:to>
    <xdr:cxnSp macro="">
      <xdr:nvCxnSpPr>
        <xdr:cNvPr id="40" name="Straight Arrow Connector 39">
          <a:extLst>
            <a:ext uri="{FF2B5EF4-FFF2-40B4-BE49-F238E27FC236}">
              <a16:creationId xmlns:a16="http://schemas.microsoft.com/office/drawing/2014/main" id="{1F01026D-FC98-46EB-89D1-14699BDBDAAB}"/>
            </a:ext>
          </a:extLst>
        </xdr:cNvPr>
        <xdr:cNvCxnSpPr>
          <a:stCxn id="41" idx="0"/>
        </xdr:cNvCxnSpPr>
      </xdr:nvCxnSpPr>
      <xdr:spPr>
        <a:xfrm flipV="1">
          <a:off x="1657350" y="7608797"/>
          <a:ext cx="1027579" cy="670108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49303</xdr:colOff>
      <xdr:row>72</xdr:row>
      <xdr:rowOff>87405</xdr:rowOff>
    </xdr:from>
    <xdr:to>
      <xdr:col>7</xdr:col>
      <xdr:colOff>221877</xdr:colOff>
      <xdr:row>77</xdr:row>
      <xdr:rowOff>134470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64648B49-38B2-4745-8B33-0CCDDDB1DF13}"/>
            </a:ext>
          </a:extLst>
        </xdr:cNvPr>
        <xdr:cNvSpPr txBox="1"/>
      </xdr:nvSpPr>
      <xdr:spPr>
        <a:xfrm>
          <a:off x="658903" y="8278905"/>
          <a:ext cx="2001374" cy="99956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New Record</a:t>
          </a:r>
          <a:endParaRPr lang="en-A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ID" sz="1000">
            <a:effectLst/>
          </a:endParaRPr>
        </a:p>
        <a:p>
          <a:r>
            <a:rPr lang="en-A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This button will open up userform that will allow the creation of a new entry</a:t>
          </a:r>
          <a:endParaRPr lang="en-ID" sz="1000">
            <a:effectLst/>
          </a:endParaRPr>
        </a:p>
      </xdr:txBody>
    </xdr:sp>
    <xdr:clientData/>
  </xdr:twoCellAnchor>
  <xdr:twoCellAnchor>
    <xdr:from>
      <xdr:col>3</xdr:col>
      <xdr:colOff>134472</xdr:colOff>
      <xdr:row>63</xdr:row>
      <xdr:rowOff>11206</xdr:rowOff>
    </xdr:from>
    <xdr:to>
      <xdr:col>5</xdr:col>
      <xdr:colOff>481855</xdr:colOff>
      <xdr:row>67</xdr:row>
      <xdr:rowOff>85164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657C73C1-214E-4098-A016-76D791628F55}"/>
            </a:ext>
          </a:extLst>
        </xdr:cNvPr>
        <xdr:cNvSpPr txBox="1"/>
      </xdr:nvSpPr>
      <xdr:spPr>
        <a:xfrm>
          <a:off x="134472" y="6488206"/>
          <a:ext cx="1566583" cy="83595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D" sz="1000">
              <a:effectLst/>
            </a:rPr>
            <a:t>View</a:t>
          </a:r>
          <a:r>
            <a:rPr lang="en-ID" sz="1000" baseline="0">
              <a:effectLst/>
            </a:rPr>
            <a:t> Change Log</a:t>
          </a:r>
        </a:p>
        <a:p>
          <a:endParaRPr lang="en-ID" sz="1000" baseline="0">
            <a:effectLst/>
          </a:endParaRPr>
        </a:p>
        <a:p>
          <a:r>
            <a:rPr lang="en-ID" sz="1000" baseline="0">
              <a:effectLst/>
            </a:rPr>
            <a:t>Allows user to see the date and time when the entry was edited.</a:t>
          </a:r>
          <a:endParaRPr lang="en-ID" sz="1000">
            <a:effectLst/>
          </a:endParaRPr>
        </a:p>
      </xdr:txBody>
    </xdr:sp>
    <xdr:clientData/>
  </xdr:twoCellAnchor>
  <xdr:twoCellAnchor>
    <xdr:from>
      <xdr:col>5</xdr:col>
      <xdr:colOff>481855</xdr:colOff>
      <xdr:row>65</xdr:row>
      <xdr:rowOff>48185</xdr:rowOff>
    </xdr:from>
    <xdr:to>
      <xdr:col>7</xdr:col>
      <xdr:colOff>212911</xdr:colOff>
      <xdr:row>66</xdr:row>
      <xdr:rowOff>100853</xdr:rowOff>
    </xdr:to>
    <xdr:cxnSp macro="">
      <xdr:nvCxnSpPr>
        <xdr:cNvPr id="43" name="Straight Arrow Connector 42">
          <a:extLst>
            <a:ext uri="{FF2B5EF4-FFF2-40B4-BE49-F238E27FC236}">
              <a16:creationId xmlns:a16="http://schemas.microsoft.com/office/drawing/2014/main" id="{779A41F3-4668-4A1E-8B7A-266156B31493}"/>
            </a:ext>
          </a:extLst>
        </xdr:cNvPr>
        <xdr:cNvCxnSpPr>
          <a:stCxn id="42" idx="3"/>
        </xdr:cNvCxnSpPr>
      </xdr:nvCxnSpPr>
      <xdr:spPr>
        <a:xfrm>
          <a:off x="1701055" y="6906185"/>
          <a:ext cx="950256" cy="243168"/>
        </a:xfrm>
        <a:prstGeom prst="straightConnector1">
          <a:avLst/>
        </a:prstGeom>
        <a:ln>
          <a:solidFill>
            <a:srgbClr val="00B0F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5</xdr:col>
      <xdr:colOff>493060</xdr:colOff>
      <xdr:row>152</xdr:row>
      <xdr:rowOff>1</xdr:rowOff>
    </xdr:from>
    <xdr:ext cx="6004800" cy="4561200"/>
    <xdr:pic>
      <xdr:nvPicPr>
        <xdr:cNvPr id="44" name="Picture 43">
          <a:extLst>
            <a:ext uri="{FF2B5EF4-FFF2-40B4-BE49-F238E27FC236}">
              <a16:creationId xmlns:a16="http://schemas.microsoft.com/office/drawing/2014/main" id="{07378EEF-7A3F-499A-BE56-F0E9A053EC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2260" y="10858501"/>
          <a:ext cx="6004800" cy="4561200"/>
        </a:xfrm>
        <a:prstGeom prst="rect">
          <a:avLst/>
        </a:prstGeom>
      </xdr:spPr>
    </xdr:pic>
    <xdr:clientData/>
  </xdr:oneCellAnchor>
  <xdr:twoCellAnchor>
    <xdr:from>
      <xdr:col>3</xdr:col>
      <xdr:colOff>224118</xdr:colOff>
      <xdr:row>153</xdr:row>
      <xdr:rowOff>134471</xdr:rowOff>
    </xdr:from>
    <xdr:to>
      <xdr:col>5</xdr:col>
      <xdr:colOff>78443</xdr:colOff>
      <xdr:row>156</xdr:row>
      <xdr:rowOff>81131</xdr:rowOff>
    </xdr:to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4F3DAEB0-3090-4CD2-BE6C-34B74F3EF49E}"/>
            </a:ext>
          </a:extLst>
        </xdr:cNvPr>
        <xdr:cNvSpPr txBox="1"/>
      </xdr:nvSpPr>
      <xdr:spPr>
        <a:xfrm>
          <a:off x="224118" y="11284324"/>
          <a:ext cx="1064560" cy="5181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name</a:t>
          </a:r>
          <a:r>
            <a:rPr lang="en-AU" sz="1000" baseline="0"/>
            <a:t> of sponsor</a:t>
          </a:r>
        </a:p>
      </xdr:txBody>
    </xdr:sp>
    <xdr:clientData/>
  </xdr:twoCellAnchor>
  <xdr:twoCellAnchor>
    <xdr:from>
      <xdr:col>5</xdr:col>
      <xdr:colOff>78443</xdr:colOff>
      <xdr:row>155</xdr:row>
      <xdr:rowOff>12551</xdr:rowOff>
    </xdr:from>
    <xdr:to>
      <xdr:col>7</xdr:col>
      <xdr:colOff>112058</xdr:colOff>
      <xdr:row>157</xdr:row>
      <xdr:rowOff>145676</xdr:rowOff>
    </xdr:to>
    <xdr:cxnSp macro="">
      <xdr:nvCxnSpPr>
        <xdr:cNvPr id="46" name="Straight Arrow Connector 45">
          <a:extLst>
            <a:ext uri="{FF2B5EF4-FFF2-40B4-BE49-F238E27FC236}">
              <a16:creationId xmlns:a16="http://schemas.microsoft.com/office/drawing/2014/main" id="{13109962-173C-41AA-B247-EDDE1D4F4704}"/>
            </a:ext>
          </a:extLst>
        </xdr:cNvPr>
        <xdr:cNvCxnSpPr>
          <a:stCxn id="45" idx="3"/>
        </xdr:cNvCxnSpPr>
      </xdr:nvCxnSpPr>
      <xdr:spPr>
        <a:xfrm>
          <a:off x="1288678" y="11543404"/>
          <a:ext cx="1243851" cy="514125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264459</xdr:colOff>
      <xdr:row>157</xdr:row>
      <xdr:rowOff>51547</xdr:rowOff>
    </xdr:from>
    <xdr:to>
      <xdr:col>5</xdr:col>
      <xdr:colOff>118784</xdr:colOff>
      <xdr:row>160</xdr:row>
      <xdr:rowOff>100853</xdr:rowOff>
    </xdr:to>
    <xdr:sp macro="" textlink="">
      <xdr:nvSpPr>
        <xdr:cNvPr id="53" name="TextBox 52">
          <a:extLst>
            <a:ext uri="{FF2B5EF4-FFF2-40B4-BE49-F238E27FC236}">
              <a16:creationId xmlns:a16="http://schemas.microsoft.com/office/drawing/2014/main" id="{4BA65558-6895-4418-8E28-E288C6BA3376}"/>
            </a:ext>
          </a:extLst>
        </xdr:cNvPr>
        <xdr:cNvSpPr txBox="1"/>
      </xdr:nvSpPr>
      <xdr:spPr>
        <a:xfrm>
          <a:off x="264459" y="11963400"/>
          <a:ext cx="1064560" cy="62080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</a:t>
          </a:r>
          <a:r>
            <a:rPr lang="en-AU" sz="1000" baseline="0"/>
            <a:t> the CRO that is involved in the study</a:t>
          </a:r>
        </a:p>
      </xdr:txBody>
    </xdr:sp>
    <xdr:clientData/>
  </xdr:twoCellAnchor>
  <xdr:twoCellAnchor>
    <xdr:from>
      <xdr:col>5</xdr:col>
      <xdr:colOff>118784</xdr:colOff>
      <xdr:row>158</xdr:row>
      <xdr:rowOff>171450</xdr:rowOff>
    </xdr:from>
    <xdr:to>
      <xdr:col>7</xdr:col>
      <xdr:colOff>134470</xdr:colOff>
      <xdr:row>159</xdr:row>
      <xdr:rowOff>168088</xdr:rowOff>
    </xdr:to>
    <xdr:cxnSp macro="">
      <xdr:nvCxnSpPr>
        <xdr:cNvPr id="54" name="Straight Arrow Connector 53">
          <a:extLst>
            <a:ext uri="{FF2B5EF4-FFF2-40B4-BE49-F238E27FC236}">
              <a16:creationId xmlns:a16="http://schemas.microsoft.com/office/drawing/2014/main" id="{FDFBBA4F-3D24-46C5-B77B-2546AEA4BC85}"/>
            </a:ext>
          </a:extLst>
        </xdr:cNvPr>
        <xdr:cNvCxnSpPr>
          <a:stCxn id="53" idx="3"/>
        </xdr:cNvCxnSpPr>
      </xdr:nvCxnSpPr>
      <xdr:spPr>
        <a:xfrm>
          <a:off x="1329019" y="12273803"/>
          <a:ext cx="1225922" cy="187138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302559</xdr:colOff>
      <xdr:row>161</xdr:row>
      <xdr:rowOff>22412</xdr:rowOff>
    </xdr:from>
    <xdr:to>
      <xdr:col>5</xdr:col>
      <xdr:colOff>302559</xdr:colOff>
      <xdr:row>164</xdr:row>
      <xdr:rowOff>56030</xdr:rowOff>
    </xdr:to>
    <xdr:sp macro="" textlink="">
      <xdr:nvSpPr>
        <xdr:cNvPr id="58" name="TextBox 57">
          <a:extLst>
            <a:ext uri="{FF2B5EF4-FFF2-40B4-BE49-F238E27FC236}">
              <a16:creationId xmlns:a16="http://schemas.microsoft.com/office/drawing/2014/main" id="{D921232D-D786-4E15-A9B2-1692ED71BE4D}"/>
            </a:ext>
          </a:extLst>
        </xdr:cNvPr>
        <xdr:cNvSpPr txBox="1"/>
      </xdr:nvSpPr>
      <xdr:spPr>
        <a:xfrm>
          <a:off x="302559" y="12696265"/>
          <a:ext cx="1210235" cy="60511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</a:t>
          </a:r>
          <a:r>
            <a:rPr lang="en-AU" sz="1000" baseline="0"/>
            <a:t> appropiate study name that is going to be used</a:t>
          </a:r>
          <a:endParaRPr lang="en-AU" sz="1000"/>
        </a:p>
      </xdr:txBody>
    </xdr:sp>
    <xdr:clientData/>
  </xdr:twoCellAnchor>
  <xdr:twoCellAnchor>
    <xdr:from>
      <xdr:col>5</xdr:col>
      <xdr:colOff>302559</xdr:colOff>
      <xdr:row>162</xdr:row>
      <xdr:rowOff>22412</xdr:rowOff>
    </xdr:from>
    <xdr:to>
      <xdr:col>7</xdr:col>
      <xdr:colOff>123264</xdr:colOff>
      <xdr:row>162</xdr:row>
      <xdr:rowOff>134471</xdr:rowOff>
    </xdr:to>
    <xdr:cxnSp macro="">
      <xdr:nvCxnSpPr>
        <xdr:cNvPr id="59" name="Straight Arrow Connector 58">
          <a:extLst>
            <a:ext uri="{FF2B5EF4-FFF2-40B4-BE49-F238E27FC236}">
              <a16:creationId xmlns:a16="http://schemas.microsoft.com/office/drawing/2014/main" id="{23698B4E-C34B-4679-90D8-A2470D670C81}"/>
            </a:ext>
          </a:extLst>
        </xdr:cNvPr>
        <xdr:cNvCxnSpPr>
          <a:stCxn id="58" idx="3"/>
        </xdr:cNvCxnSpPr>
      </xdr:nvCxnSpPr>
      <xdr:spPr>
        <a:xfrm flipV="1">
          <a:off x="1512794" y="12886765"/>
          <a:ext cx="1030941" cy="112059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253253</xdr:colOff>
      <xdr:row>163</xdr:row>
      <xdr:rowOff>145677</xdr:rowOff>
    </xdr:from>
    <xdr:to>
      <xdr:col>7</xdr:col>
      <xdr:colOff>112058</xdr:colOff>
      <xdr:row>166</xdr:row>
      <xdr:rowOff>118783</xdr:rowOff>
    </xdr:to>
    <xdr:cxnSp macro="">
      <xdr:nvCxnSpPr>
        <xdr:cNvPr id="62" name="Straight Arrow Connector 61">
          <a:extLst>
            <a:ext uri="{FF2B5EF4-FFF2-40B4-BE49-F238E27FC236}">
              <a16:creationId xmlns:a16="http://schemas.microsoft.com/office/drawing/2014/main" id="{79BC02C9-F679-4BEC-98C9-FBD3EF787AB6}"/>
            </a:ext>
          </a:extLst>
        </xdr:cNvPr>
        <xdr:cNvCxnSpPr>
          <a:stCxn id="65" idx="3"/>
        </xdr:cNvCxnSpPr>
      </xdr:nvCxnSpPr>
      <xdr:spPr>
        <a:xfrm flipV="1">
          <a:off x="1463488" y="13200530"/>
          <a:ext cx="1069041" cy="544606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253253</xdr:colOff>
      <xdr:row>165</xdr:row>
      <xdr:rowOff>6724</xdr:rowOff>
    </xdr:from>
    <xdr:to>
      <xdr:col>5</xdr:col>
      <xdr:colOff>253253</xdr:colOff>
      <xdr:row>168</xdr:row>
      <xdr:rowOff>40342</xdr:rowOff>
    </xdr:to>
    <xdr:sp macro="" textlink="">
      <xdr:nvSpPr>
        <xdr:cNvPr id="65" name="TextBox 64">
          <a:extLst>
            <a:ext uri="{FF2B5EF4-FFF2-40B4-BE49-F238E27FC236}">
              <a16:creationId xmlns:a16="http://schemas.microsoft.com/office/drawing/2014/main" id="{A49A295F-8591-4DAD-B105-8920A63CDF3B}"/>
            </a:ext>
          </a:extLst>
        </xdr:cNvPr>
        <xdr:cNvSpPr txBox="1"/>
      </xdr:nvSpPr>
      <xdr:spPr>
        <a:xfrm>
          <a:off x="253253" y="13442577"/>
          <a:ext cx="1210235" cy="60511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</a:t>
          </a:r>
          <a:r>
            <a:rPr lang="en-AU" sz="1000" baseline="0"/>
            <a:t> appropiate Protocol number </a:t>
          </a:r>
          <a:endParaRPr lang="en-AU" sz="1000"/>
        </a:p>
      </xdr:txBody>
    </xdr:sp>
    <xdr:clientData/>
  </xdr:twoCellAnchor>
  <xdr:twoCellAnchor>
    <xdr:from>
      <xdr:col>16</xdr:col>
      <xdr:colOff>593913</xdr:colOff>
      <xdr:row>163</xdr:row>
      <xdr:rowOff>179293</xdr:rowOff>
    </xdr:from>
    <xdr:to>
      <xdr:col>19</xdr:col>
      <xdr:colOff>156883</xdr:colOff>
      <xdr:row>167</xdr:row>
      <xdr:rowOff>168088</xdr:rowOff>
    </xdr:to>
    <xdr:sp macro="" textlink="">
      <xdr:nvSpPr>
        <xdr:cNvPr id="72" name="TextBox 71">
          <a:extLst>
            <a:ext uri="{FF2B5EF4-FFF2-40B4-BE49-F238E27FC236}">
              <a16:creationId xmlns:a16="http://schemas.microsoft.com/office/drawing/2014/main" id="{EB083B03-775D-4509-8FC9-BB50C2CDBE08}"/>
            </a:ext>
          </a:extLst>
        </xdr:cNvPr>
        <xdr:cNvSpPr txBox="1"/>
      </xdr:nvSpPr>
      <xdr:spPr>
        <a:xfrm>
          <a:off x="8460442" y="13234146"/>
          <a:ext cx="1378323" cy="75079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the age range that is going to be appropriate</a:t>
          </a:r>
          <a:r>
            <a:rPr lang="en-AU" sz="1000" baseline="0"/>
            <a:t> for the study</a:t>
          </a:r>
          <a:endParaRPr lang="en-AU" sz="1000"/>
        </a:p>
      </xdr:txBody>
    </xdr:sp>
    <xdr:clientData/>
  </xdr:twoCellAnchor>
  <xdr:twoCellAnchor>
    <xdr:from>
      <xdr:col>15</xdr:col>
      <xdr:colOff>44824</xdr:colOff>
      <xdr:row>165</xdr:row>
      <xdr:rowOff>173691</xdr:rowOff>
    </xdr:from>
    <xdr:to>
      <xdr:col>16</xdr:col>
      <xdr:colOff>593913</xdr:colOff>
      <xdr:row>166</xdr:row>
      <xdr:rowOff>123265</xdr:rowOff>
    </xdr:to>
    <xdr:cxnSp macro="">
      <xdr:nvCxnSpPr>
        <xdr:cNvPr id="73" name="Straight Arrow Connector 72">
          <a:extLst>
            <a:ext uri="{FF2B5EF4-FFF2-40B4-BE49-F238E27FC236}">
              <a16:creationId xmlns:a16="http://schemas.microsoft.com/office/drawing/2014/main" id="{32048564-4DD8-4D6E-9383-818E689B9415}"/>
            </a:ext>
          </a:extLst>
        </xdr:cNvPr>
        <xdr:cNvCxnSpPr>
          <a:stCxn id="72" idx="1"/>
        </xdr:cNvCxnSpPr>
      </xdr:nvCxnSpPr>
      <xdr:spPr>
        <a:xfrm flipH="1">
          <a:off x="7306236" y="13609544"/>
          <a:ext cx="1154206" cy="140074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0</xdr:colOff>
      <xdr:row>169</xdr:row>
      <xdr:rowOff>190499</xdr:rowOff>
    </xdr:from>
    <xdr:to>
      <xdr:col>19</xdr:col>
      <xdr:colOff>168088</xdr:colOff>
      <xdr:row>175</xdr:row>
      <xdr:rowOff>134470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48310408-FA03-41C4-BFFD-6C5D0A55656E}"/>
            </a:ext>
          </a:extLst>
        </xdr:cNvPr>
        <xdr:cNvSpPr txBox="1"/>
      </xdr:nvSpPr>
      <xdr:spPr>
        <a:xfrm>
          <a:off x="8471647" y="14388352"/>
          <a:ext cx="1378323" cy="108697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reminders</a:t>
          </a:r>
          <a:r>
            <a:rPr lang="en-AU" sz="1000" baseline="0"/>
            <a:t> if needed this reminder will be available to be reviewed under view reminder button on navigation page</a:t>
          </a:r>
          <a:endParaRPr lang="en-AU" sz="1000"/>
        </a:p>
      </xdr:txBody>
    </xdr:sp>
    <xdr:clientData/>
  </xdr:twoCellAnchor>
  <xdr:twoCellAnchor>
    <xdr:from>
      <xdr:col>14</xdr:col>
      <xdr:colOff>578225</xdr:colOff>
      <xdr:row>170</xdr:row>
      <xdr:rowOff>141195</xdr:rowOff>
    </xdr:from>
    <xdr:to>
      <xdr:col>17</xdr:col>
      <xdr:colOff>0</xdr:colOff>
      <xdr:row>172</xdr:row>
      <xdr:rowOff>162485</xdr:rowOff>
    </xdr:to>
    <xdr:cxnSp macro="">
      <xdr:nvCxnSpPr>
        <xdr:cNvPr id="80" name="Straight Arrow Connector 79">
          <a:extLst>
            <a:ext uri="{FF2B5EF4-FFF2-40B4-BE49-F238E27FC236}">
              <a16:creationId xmlns:a16="http://schemas.microsoft.com/office/drawing/2014/main" id="{F11C8A81-266C-454B-80EB-D67A2E5DD20F}"/>
            </a:ext>
          </a:extLst>
        </xdr:cNvPr>
        <xdr:cNvCxnSpPr>
          <a:stCxn id="79" idx="1"/>
        </xdr:cNvCxnSpPr>
      </xdr:nvCxnSpPr>
      <xdr:spPr>
        <a:xfrm flipH="1" flipV="1">
          <a:off x="7234519" y="14529548"/>
          <a:ext cx="1237128" cy="402290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380999</xdr:colOff>
      <xdr:row>178</xdr:row>
      <xdr:rowOff>0</xdr:rowOff>
    </xdr:from>
    <xdr:to>
      <xdr:col>11</xdr:col>
      <xdr:colOff>134471</xdr:colOff>
      <xdr:row>183</xdr:row>
      <xdr:rowOff>179294</xdr:rowOff>
    </xdr:to>
    <xdr:sp macro="" textlink="">
      <xdr:nvSpPr>
        <xdr:cNvPr id="84" name="TextBox 83">
          <a:extLst>
            <a:ext uri="{FF2B5EF4-FFF2-40B4-BE49-F238E27FC236}">
              <a16:creationId xmlns:a16="http://schemas.microsoft.com/office/drawing/2014/main" id="{8467A755-453F-4B08-83D8-B8F99F5875B7}"/>
            </a:ext>
          </a:extLst>
        </xdr:cNvPr>
        <xdr:cNvSpPr txBox="1"/>
      </xdr:nvSpPr>
      <xdr:spPr>
        <a:xfrm>
          <a:off x="2801470" y="15912353"/>
          <a:ext cx="2173942" cy="113179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Undo Button</a:t>
          </a:r>
          <a:endParaRPr lang="en-A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ID" sz="1000">
            <a:effectLst/>
          </a:endParaRPr>
        </a:p>
        <a:p>
          <a:r>
            <a:rPr lang="en-A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This button will only undo the recent changes but will not work if client have changed to another userform </a:t>
          </a:r>
          <a:endParaRPr lang="en-ID" sz="1000">
            <a:effectLst/>
          </a:endParaRPr>
        </a:p>
      </xdr:txBody>
    </xdr:sp>
    <xdr:clientData/>
  </xdr:twoCellAnchor>
  <xdr:twoCellAnchor>
    <xdr:from>
      <xdr:col>11</xdr:col>
      <xdr:colOff>582706</xdr:colOff>
      <xdr:row>177</xdr:row>
      <xdr:rowOff>156882</xdr:rowOff>
    </xdr:from>
    <xdr:to>
      <xdr:col>15</xdr:col>
      <xdr:colOff>336177</xdr:colOff>
      <xdr:row>183</xdr:row>
      <xdr:rowOff>145676</xdr:rowOff>
    </xdr:to>
    <xdr:sp macro="" textlink="">
      <xdr:nvSpPr>
        <xdr:cNvPr id="86" name="TextBox 85">
          <a:extLst>
            <a:ext uri="{FF2B5EF4-FFF2-40B4-BE49-F238E27FC236}">
              <a16:creationId xmlns:a16="http://schemas.microsoft.com/office/drawing/2014/main" id="{6C9D0BBF-746D-4145-8863-DD9E7319A3E6}"/>
            </a:ext>
          </a:extLst>
        </xdr:cNvPr>
        <xdr:cNvSpPr txBox="1"/>
      </xdr:nvSpPr>
      <xdr:spPr>
        <a:xfrm>
          <a:off x="5423647" y="15878735"/>
          <a:ext cx="2173942" cy="113179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Redo Button</a:t>
          </a:r>
          <a:endParaRPr lang="en-A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ID" sz="1000">
            <a:effectLst/>
          </a:endParaRPr>
        </a:p>
        <a:p>
          <a:r>
            <a:rPr lang="en-A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This button will only redo the recently deleted changes but will not work if client have changed to another userform </a:t>
          </a:r>
          <a:endParaRPr lang="en-ID" sz="1000">
            <a:effectLst/>
          </a:endParaRPr>
        </a:p>
      </xdr:txBody>
    </xdr:sp>
    <xdr:clientData/>
  </xdr:twoCellAnchor>
  <xdr:twoCellAnchor>
    <xdr:from>
      <xdr:col>12</xdr:col>
      <xdr:colOff>259978</xdr:colOff>
      <xdr:row>173</xdr:row>
      <xdr:rowOff>168088</xdr:rowOff>
    </xdr:from>
    <xdr:to>
      <xdr:col>13</xdr:col>
      <xdr:colOff>459442</xdr:colOff>
      <xdr:row>177</xdr:row>
      <xdr:rowOff>156882</xdr:rowOff>
    </xdr:to>
    <xdr:cxnSp macro="">
      <xdr:nvCxnSpPr>
        <xdr:cNvPr id="87" name="Straight Arrow Connector 86">
          <a:extLst>
            <a:ext uri="{FF2B5EF4-FFF2-40B4-BE49-F238E27FC236}">
              <a16:creationId xmlns:a16="http://schemas.microsoft.com/office/drawing/2014/main" id="{5A1F59E7-30C5-42DE-ABFC-490C60F3EE38}"/>
            </a:ext>
          </a:extLst>
        </xdr:cNvPr>
        <xdr:cNvCxnSpPr>
          <a:stCxn id="86" idx="0"/>
        </xdr:cNvCxnSpPr>
      </xdr:nvCxnSpPr>
      <xdr:spPr>
        <a:xfrm flipH="1" flipV="1">
          <a:off x="5706037" y="15127941"/>
          <a:ext cx="804581" cy="750794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257735</xdr:colOff>
      <xdr:row>174</xdr:row>
      <xdr:rowOff>22412</xdr:rowOff>
    </xdr:from>
    <xdr:to>
      <xdr:col>9</xdr:col>
      <xdr:colOff>381000</xdr:colOff>
      <xdr:row>178</xdr:row>
      <xdr:rowOff>0</xdr:rowOff>
    </xdr:to>
    <xdr:cxnSp macro="">
      <xdr:nvCxnSpPr>
        <xdr:cNvPr id="89" name="Straight Arrow Connector 88">
          <a:extLst>
            <a:ext uri="{FF2B5EF4-FFF2-40B4-BE49-F238E27FC236}">
              <a16:creationId xmlns:a16="http://schemas.microsoft.com/office/drawing/2014/main" id="{DC05C2FB-69B7-4AB4-8816-B9F14D82FD56}"/>
            </a:ext>
          </a:extLst>
        </xdr:cNvPr>
        <xdr:cNvCxnSpPr>
          <a:stCxn id="84" idx="0"/>
        </xdr:cNvCxnSpPr>
      </xdr:nvCxnSpPr>
      <xdr:spPr>
        <a:xfrm flipV="1">
          <a:off x="3888441" y="15172765"/>
          <a:ext cx="123265" cy="739588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201706</xdr:colOff>
      <xdr:row>178</xdr:row>
      <xdr:rowOff>11206</xdr:rowOff>
    </xdr:from>
    <xdr:to>
      <xdr:col>6</xdr:col>
      <xdr:colOff>560295</xdr:colOff>
      <xdr:row>184</xdr:row>
      <xdr:rowOff>0</xdr:rowOff>
    </xdr:to>
    <xdr:sp macro="" textlink="">
      <xdr:nvSpPr>
        <xdr:cNvPr id="92" name="TextBox 91">
          <a:extLst>
            <a:ext uri="{FF2B5EF4-FFF2-40B4-BE49-F238E27FC236}">
              <a16:creationId xmlns:a16="http://schemas.microsoft.com/office/drawing/2014/main" id="{0EF24DC9-E6A1-4AB3-9DF4-18AF6067E5F2}"/>
            </a:ext>
          </a:extLst>
        </xdr:cNvPr>
        <xdr:cNvSpPr txBox="1"/>
      </xdr:nvSpPr>
      <xdr:spPr>
        <a:xfrm>
          <a:off x="201706" y="15923559"/>
          <a:ext cx="2173942" cy="113179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Apply Changes</a:t>
          </a:r>
          <a:endParaRPr lang="en-A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ID" sz="1000">
            <a:effectLst/>
          </a:endParaRPr>
        </a:p>
        <a:p>
          <a:r>
            <a:rPr lang="en-A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This button will Save any changes done to the textboxes in the userform </a:t>
          </a:r>
          <a:endParaRPr lang="en-ID" sz="1000">
            <a:effectLst/>
          </a:endParaRPr>
        </a:p>
      </xdr:txBody>
    </xdr:sp>
    <xdr:clientData/>
  </xdr:twoCellAnchor>
  <xdr:twoCellAnchor>
    <xdr:from>
      <xdr:col>5</xdr:col>
      <xdr:colOff>78442</xdr:colOff>
      <xdr:row>173</xdr:row>
      <xdr:rowOff>145676</xdr:rowOff>
    </xdr:from>
    <xdr:to>
      <xdr:col>6</xdr:col>
      <xdr:colOff>212912</xdr:colOff>
      <xdr:row>178</xdr:row>
      <xdr:rowOff>11206</xdr:rowOff>
    </xdr:to>
    <xdr:cxnSp macro="">
      <xdr:nvCxnSpPr>
        <xdr:cNvPr id="93" name="Straight Arrow Connector 92">
          <a:extLst>
            <a:ext uri="{FF2B5EF4-FFF2-40B4-BE49-F238E27FC236}">
              <a16:creationId xmlns:a16="http://schemas.microsoft.com/office/drawing/2014/main" id="{06A1B580-690E-435E-A7FA-D114A43E901F}"/>
            </a:ext>
          </a:extLst>
        </xdr:cNvPr>
        <xdr:cNvCxnSpPr>
          <a:stCxn id="92" idx="0"/>
        </xdr:cNvCxnSpPr>
      </xdr:nvCxnSpPr>
      <xdr:spPr>
        <a:xfrm flipV="1">
          <a:off x="1288677" y="15105529"/>
          <a:ext cx="739588" cy="818030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165850</xdr:colOff>
      <xdr:row>158</xdr:row>
      <xdr:rowOff>17931</xdr:rowOff>
    </xdr:from>
    <xdr:to>
      <xdr:col>16</xdr:col>
      <xdr:colOff>551329</xdr:colOff>
      <xdr:row>160</xdr:row>
      <xdr:rowOff>22413</xdr:rowOff>
    </xdr:to>
    <xdr:cxnSp macro="">
      <xdr:nvCxnSpPr>
        <xdr:cNvPr id="96" name="Straight Arrow Connector 95">
          <a:extLst>
            <a:ext uri="{FF2B5EF4-FFF2-40B4-BE49-F238E27FC236}">
              <a16:creationId xmlns:a16="http://schemas.microsoft.com/office/drawing/2014/main" id="{1EBF124E-20A0-4A30-964E-839BE86E028F}"/>
            </a:ext>
          </a:extLst>
        </xdr:cNvPr>
        <xdr:cNvCxnSpPr>
          <a:stCxn id="99" idx="1"/>
        </xdr:cNvCxnSpPr>
      </xdr:nvCxnSpPr>
      <xdr:spPr>
        <a:xfrm flipH="1" flipV="1">
          <a:off x="6822144" y="12120284"/>
          <a:ext cx="1595714" cy="385482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551329</xdr:colOff>
      <xdr:row>157</xdr:row>
      <xdr:rowOff>67237</xdr:rowOff>
    </xdr:from>
    <xdr:to>
      <xdr:col>19</xdr:col>
      <xdr:colOff>80682</xdr:colOff>
      <xdr:row>162</xdr:row>
      <xdr:rowOff>168088</xdr:rowOff>
    </xdr:to>
    <xdr:sp macro="" textlink="">
      <xdr:nvSpPr>
        <xdr:cNvPr id="99" name="TextBox 98">
          <a:extLst>
            <a:ext uri="{FF2B5EF4-FFF2-40B4-BE49-F238E27FC236}">
              <a16:creationId xmlns:a16="http://schemas.microsoft.com/office/drawing/2014/main" id="{AC6EDF4E-CD12-42CC-AB45-AFF94732E062}"/>
            </a:ext>
          </a:extLst>
        </xdr:cNvPr>
        <xdr:cNvSpPr txBox="1"/>
      </xdr:nvSpPr>
      <xdr:spPr>
        <a:xfrm>
          <a:off x="8417858" y="11979090"/>
          <a:ext cx="1344706" cy="105335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A</a:t>
          </a:r>
          <a:r>
            <a:rPr lang="en-AU" sz="1000" baseline="0"/>
            <a:t> tick box that will</a:t>
          </a:r>
          <a:endParaRPr lang="en-AU" sz="1000"/>
        </a:p>
        <a:p>
          <a:r>
            <a:rPr lang="en-AU" sz="1000" baseline="0"/>
            <a:t>allow user to save their progress as soon as they clicked other forms/the navigation buttons</a:t>
          </a:r>
        </a:p>
      </xdr:txBody>
    </xdr:sp>
    <xdr:clientData/>
  </xdr:twoCellAnchor>
  <xdr:twoCellAnchor>
    <xdr:from>
      <xdr:col>7</xdr:col>
      <xdr:colOff>593911</xdr:colOff>
      <xdr:row>151</xdr:row>
      <xdr:rowOff>112060</xdr:rowOff>
    </xdr:from>
    <xdr:to>
      <xdr:col>10</xdr:col>
      <xdr:colOff>430305</xdr:colOff>
      <xdr:row>154</xdr:row>
      <xdr:rowOff>67235</xdr:rowOff>
    </xdr:to>
    <xdr:cxnSp macro="">
      <xdr:nvCxnSpPr>
        <xdr:cNvPr id="102" name="Straight Arrow Connector 101">
          <a:extLst>
            <a:ext uri="{FF2B5EF4-FFF2-40B4-BE49-F238E27FC236}">
              <a16:creationId xmlns:a16="http://schemas.microsoft.com/office/drawing/2014/main" id="{2F26D486-5039-47CC-B1CC-6F86BDEE76D6}"/>
            </a:ext>
          </a:extLst>
        </xdr:cNvPr>
        <xdr:cNvCxnSpPr>
          <a:stCxn id="118" idx="2"/>
        </xdr:cNvCxnSpPr>
      </xdr:nvCxnSpPr>
      <xdr:spPr>
        <a:xfrm flipH="1">
          <a:off x="3014382" y="10880913"/>
          <a:ext cx="1651747" cy="526675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448236</xdr:colOff>
      <xdr:row>151</xdr:row>
      <xdr:rowOff>112060</xdr:rowOff>
    </xdr:from>
    <xdr:to>
      <xdr:col>10</xdr:col>
      <xdr:colOff>430305</xdr:colOff>
      <xdr:row>154</xdr:row>
      <xdr:rowOff>67235</xdr:rowOff>
    </xdr:to>
    <xdr:cxnSp macro="">
      <xdr:nvCxnSpPr>
        <xdr:cNvPr id="105" name="Straight Arrow Connector 104">
          <a:extLst>
            <a:ext uri="{FF2B5EF4-FFF2-40B4-BE49-F238E27FC236}">
              <a16:creationId xmlns:a16="http://schemas.microsoft.com/office/drawing/2014/main" id="{2544A1CB-944C-422E-A2B2-A549342DBED6}"/>
            </a:ext>
          </a:extLst>
        </xdr:cNvPr>
        <xdr:cNvCxnSpPr>
          <a:stCxn id="118" idx="2"/>
        </xdr:cNvCxnSpPr>
      </xdr:nvCxnSpPr>
      <xdr:spPr>
        <a:xfrm flipH="1">
          <a:off x="3473824" y="10880913"/>
          <a:ext cx="1192305" cy="526675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235323</xdr:colOff>
      <xdr:row>151</xdr:row>
      <xdr:rowOff>112060</xdr:rowOff>
    </xdr:from>
    <xdr:to>
      <xdr:col>10</xdr:col>
      <xdr:colOff>430305</xdr:colOff>
      <xdr:row>154</xdr:row>
      <xdr:rowOff>67235</xdr:rowOff>
    </xdr:to>
    <xdr:cxnSp macro="">
      <xdr:nvCxnSpPr>
        <xdr:cNvPr id="106" name="Straight Arrow Connector 105">
          <a:extLst>
            <a:ext uri="{FF2B5EF4-FFF2-40B4-BE49-F238E27FC236}">
              <a16:creationId xmlns:a16="http://schemas.microsoft.com/office/drawing/2014/main" id="{C2FE5F04-352B-404A-A37B-7D446581EA59}"/>
            </a:ext>
          </a:extLst>
        </xdr:cNvPr>
        <xdr:cNvCxnSpPr>
          <a:stCxn id="118" idx="2"/>
        </xdr:cNvCxnSpPr>
      </xdr:nvCxnSpPr>
      <xdr:spPr>
        <a:xfrm flipH="1">
          <a:off x="3866029" y="10880913"/>
          <a:ext cx="800100" cy="526675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33617</xdr:colOff>
      <xdr:row>151</xdr:row>
      <xdr:rowOff>112060</xdr:rowOff>
    </xdr:from>
    <xdr:to>
      <xdr:col>10</xdr:col>
      <xdr:colOff>430305</xdr:colOff>
      <xdr:row>154</xdr:row>
      <xdr:rowOff>89647</xdr:rowOff>
    </xdr:to>
    <xdr:cxnSp macro="">
      <xdr:nvCxnSpPr>
        <xdr:cNvPr id="109" name="Straight Arrow Connector 108">
          <a:extLst>
            <a:ext uri="{FF2B5EF4-FFF2-40B4-BE49-F238E27FC236}">
              <a16:creationId xmlns:a16="http://schemas.microsoft.com/office/drawing/2014/main" id="{F9FB7605-491F-4CA4-A4E9-5FA1D4012F74}"/>
            </a:ext>
          </a:extLst>
        </xdr:cNvPr>
        <xdr:cNvCxnSpPr>
          <a:stCxn id="118" idx="2"/>
        </xdr:cNvCxnSpPr>
      </xdr:nvCxnSpPr>
      <xdr:spPr>
        <a:xfrm flipH="1">
          <a:off x="4269441" y="10880913"/>
          <a:ext cx="396688" cy="549087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430305</xdr:colOff>
      <xdr:row>151</xdr:row>
      <xdr:rowOff>112060</xdr:rowOff>
    </xdr:from>
    <xdr:to>
      <xdr:col>10</xdr:col>
      <xdr:colOff>470649</xdr:colOff>
      <xdr:row>154</xdr:row>
      <xdr:rowOff>85166</xdr:rowOff>
    </xdr:to>
    <xdr:cxnSp macro="">
      <xdr:nvCxnSpPr>
        <xdr:cNvPr id="111" name="Straight Arrow Connector 110">
          <a:extLst>
            <a:ext uri="{FF2B5EF4-FFF2-40B4-BE49-F238E27FC236}">
              <a16:creationId xmlns:a16="http://schemas.microsoft.com/office/drawing/2014/main" id="{FF895EB6-9110-4ACC-B848-739CA8F80029}"/>
            </a:ext>
          </a:extLst>
        </xdr:cNvPr>
        <xdr:cNvCxnSpPr>
          <a:stCxn id="118" idx="2"/>
        </xdr:cNvCxnSpPr>
      </xdr:nvCxnSpPr>
      <xdr:spPr>
        <a:xfrm>
          <a:off x="4666129" y="10880913"/>
          <a:ext cx="40344" cy="544606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367552</xdr:colOff>
      <xdr:row>148</xdr:row>
      <xdr:rowOff>51549</xdr:rowOff>
    </xdr:from>
    <xdr:to>
      <xdr:col>12</xdr:col>
      <xdr:colOff>493059</xdr:colOff>
      <xdr:row>151</xdr:row>
      <xdr:rowOff>112060</xdr:rowOff>
    </xdr:to>
    <xdr:sp macro="" textlink="">
      <xdr:nvSpPr>
        <xdr:cNvPr id="118" name="TextBox 117">
          <a:extLst>
            <a:ext uri="{FF2B5EF4-FFF2-40B4-BE49-F238E27FC236}">
              <a16:creationId xmlns:a16="http://schemas.microsoft.com/office/drawing/2014/main" id="{BBC5A012-195F-4F14-82F5-35F5B6B42C2C}"/>
            </a:ext>
          </a:extLst>
        </xdr:cNvPr>
        <xdr:cNvSpPr txBox="1"/>
      </xdr:nvSpPr>
      <xdr:spPr>
        <a:xfrm>
          <a:off x="3393140" y="10237696"/>
          <a:ext cx="2545978" cy="64321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Navigation button to</a:t>
          </a:r>
          <a:r>
            <a:rPr lang="en-AU" sz="1000" baseline="0"/>
            <a:t> go through all the available tables/userforms needed to complete the study entry.</a:t>
          </a:r>
        </a:p>
      </xdr:txBody>
    </xdr:sp>
    <xdr:clientData/>
  </xdr:twoCellAnchor>
  <xdr:twoCellAnchor>
    <xdr:from>
      <xdr:col>10</xdr:col>
      <xdr:colOff>430305</xdr:colOff>
      <xdr:row>151</xdr:row>
      <xdr:rowOff>112060</xdr:rowOff>
    </xdr:from>
    <xdr:to>
      <xdr:col>11</xdr:col>
      <xdr:colOff>268941</xdr:colOff>
      <xdr:row>154</xdr:row>
      <xdr:rowOff>56029</xdr:rowOff>
    </xdr:to>
    <xdr:cxnSp macro="">
      <xdr:nvCxnSpPr>
        <xdr:cNvPr id="125" name="Straight Arrow Connector 124">
          <a:extLst>
            <a:ext uri="{FF2B5EF4-FFF2-40B4-BE49-F238E27FC236}">
              <a16:creationId xmlns:a16="http://schemas.microsoft.com/office/drawing/2014/main" id="{030255FE-D3AE-44BC-955C-D92B71281FA9}"/>
            </a:ext>
          </a:extLst>
        </xdr:cNvPr>
        <xdr:cNvCxnSpPr>
          <a:stCxn id="118" idx="2"/>
        </xdr:cNvCxnSpPr>
      </xdr:nvCxnSpPr>
      <xdr:spPr>
        <a:xfrm>
          <a:off x="4666129" y="10880913"/>
          <a:ext cx="443753" cy="515469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430305</xdr:colOff>
      <xdr:row>151</xdr:row>
      <xdr:rowOff>112060</xdr:rowOff>
    </xdr:from>
    <xdr:to>
      <xdr:col>12</xdr:col>
      <xdr:colOff>134471</xdr:colOff>
      <xdr:row>154</xdr:row>
      <xdr:rowOff>100853</xdr:rowOff>
    </xdr:to>
    <xdr:cxnSp macro="">
      <xdr:nvCxnSpPr>
        <xdr:cNvPr id="134" name="Straight Arrow Connector 133">
          <a:extLst>
            <a:ext uri="{FF2B5EF4-FFF2-40B4-BE49-F238E27FC236}">
              <a16:creationId xmlns:a16="http://schemas.microsoft.com/office/drawing/2014/main" id="{147BD7A7-56FE-4BC9-A15E-A1430524D578}"/>
            </a:ext>
          </a:extLst>
        </xdr:cNvPr>
        <xdr:cNvCxnSpPr>
          <a:stCxn id="118" idx="2"/>
        </xdr:cNvCxnSpPr>
      </xdr:nvCxnSpPr>
      <xdr:spPr>
        <a:xfrm>
          <a:off x="4666129" y="10880913"/>
          <a:ext cx="914401" cy="560293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134470</xdr:colOff>
      <xdr:row>151</xdr:row>
      <xdr:rowOff>112060</xdr:rowOff>
    </xdr:from>
    <xdr:to>
      <xdr:col>10</xdr:col>
      <xdr:colOff>430305</xdr:colOff>
      <xdr:row>154</xdr:row>
      <xdr:rowOff>78441</xdr:rowOff>
    </xdr:to>
    <xdr:cxnSp macro="">
      <xdr:nvCxnSpPr>
        <xdr:cNvPr id="138" name="Straight Arrow Connector 137">
          <a:extLst>
            <a:ext uri="{FF2B5EF4-FFF2-40B4-BE49-F238E27FC236}">
              <a16:creationId xmlns:a16="http://schemas.microsoft.com/office/drawing/2014/main" id="{BC778229-8F26-4945-86BD-F9FBB9C31199}"/>
            </a:ext>
          </a:extLst>
        </xdr:cNvPr>
        <xdr:cNvCxnSpPr>
          <a:stCxn id="118" idx="2"/>
        </xdr:cNvCxnSpPr>
      </xdr:nvCxnSpPr>
      <xdr:spPr>
        <a:xfrm flipH="1">
          <a:off x="2554941" y="10880913"/>
          <a:ext cx="2111188" cy="537881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430305</xdr:colOff>
      <xdr:row>151</xdr:row>
      <xdr:rowOff>112060</xdr:rowOff>
    </xdr:from>
    <xdr:to>
      <xdr:col>12</xdr:col>
      <xdr:colOff>549088</xdr:colOff>
      <xdr:row>154</xdr:row>
      <xdr:rowOff>89647</xdr:rowOff>
    </xdr:to>
    <xdr:cxnSp macro="">
      <xdr:nvCxnSpPr>
        <xdr:cNvPr id="140" name="Straight Arrow Connector 139">
          <a:extLst>
            <a:ext uri="{FF2B5EF4-FFF2-40B4-BE49-F238E27FC236}">
              <a16:creationId xmlns:a16="http://schemas.microsoft.com/office/drawing/2014/main" id="{269F211B-28B5-48D1-84DE-0D6F5C75177E}"/>
            </a:ext>
          </a:extLst>
        </xdr:cNvPr>
        <xdr:cNvCxnSpPr>
          <a:stCxn id="118" idx="2"/>
        </xdr:cNvCxnSpPr>
      </xdr:nvCxnSpPr>
      <xdr:spPr>
        <a:xfrm>
          <a:off x="4666129" y="10880913"/>
          <a:ext cx="1329018" cy="549087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430305</xdr:colOff>
      <xdr:row>151</xdr:row>
      <xdr:rowOff>112060</xdr:rowOff>
    </xdr:from>
    <xdr:to>
      <xdr:col>13</xdr:col>
      <xdr:colOff>383242</xdr:colOff>
      <xdr:row>154</xdr:row>
      <xdr:rowOff>114300</xdr:rowOff>
    </xdr:to>
    <xdr:cxnSp macro="">
      <xdr:nvCxnSpPr>
        <xdr:cNvPr id="142" name="Straight Arrow Connector 141">
          <a:extLst>
            <a:ext uri="{FF2B5EF4-FFF2-40B4-BE49-F238E27FC236}">
              <a16:creationId xmlns:a16="http://schemas.microsoft.com/office/drawing/2014/main" id="{DA30A739-5F6D-48CA-9C11-CD34DF825E66}"/>
            </a:ext>
          </a:extLst>
        </xdr:cNvPr>
        <xdr:cNvCxnSpPr>
          <a:stCxn id="118" idx="2"/>
        </xdr:cNvCxnSpPr>
      </xdr:nvCxnSpPr>
      <xdr:spPr>
        <a:xfrm>
          <a:off x="4666129" y="10880913"/>
          <a:ext cx="1768289" cy="573740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430305</xdr:colOff>
      <xdr:row>151</xdr:row>
      <xdr:rowOff>112060</xdr:rowOff>
    </xdr:from>
    <xdr:to>
      <xdr:col>14</xdr:col>
      <xdr:colOff>268941</xdr:colOff>
      <xdr:row>154</xdr:row>
      <xdr:rowOff>89647</xdr:rowOff>
    </xdr:to>
    <xdr:cxnSp macro="">
      <xdr:nvCxnSpPr>
        <xdr:cNvPr id="152" name="Straight Arrow Connector 151">
          <a:extLst>
            <a:ext uri="{FF2B5EF4-FFF2-40B4-BE49-F238E27FC236}">
              <a16:creationId xmlns:a16="http://schemas.microsoft.com/office/drawing/2014/main" id="{A4D3C127-2569-4E37-94C1-BBB8F676288F}"/>
            </a:ext>
          </a:extLst>
        </xdr:cNvPr>
        <xdr:cNvCxnSpPr>
          <a:stCxn id="118" idx="2"/>
        </xdr:cNvCxnSpPr>
      </xdr:nvCxnSpPr>
      <xdr:spPr>
        <a:xfrm>
          <a:off x="4666129" y="10880913"/>
          <a:ext cx="2259106" cy="549087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430305</xdr:colOff>
      <xdr:row>151</xdr:row>
      <xdr:rowOff>112060</xdr:rowOff>
    </xdr:from>
    <xdr:to>
      <xdr:col>15</xdr:col>
      <xdr:colOff>96370</xdr:colOff>
      <xdr:row>154</xdr:row>
      <xdr:rowOff>62752</xdr:rowOff>
    </xdr:to>
    <xdr:cxnSp macro="">
      <xdr:nvCxnSpPr>
        <xdr:cNvPr id="155" name="Straight Arrow Connector 154">
          <a:extLst>
            <a:ext uri="{FF2B5EF4-FFF2-40B4-BE49-F238E27FC236}">
              <a16:creationId xmlns:a16="http://schemas.microsoft.com/office/drawing/2014/main" id="{2CF62946-6C2A-4E74-8B2D-EBE035E69801}"/>
            </a:ext>
          </a:extLst>
        </xdr:cNvPr>
        <xdr:cNvCxnSpPr>
          <a:stCxn id="118" idx="2"/>
        </xdr:cNvCxnSpPr>
      </xdr:nvCxnSpPr>
      <xdr:spPr>
        <a:xfrm>
          <a:off x="4666129" y="10880913"/>
          <a:ext cx="2691653" cy="522192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</xdr:col>
      <xdr:colOff>0</xdr:colOff>
      <xdr:row>188</xdr:row>
      <xdr:rowOff>0</xdr:rowOff>
    </xdr:from>
    <xdr:to>
      <xdr:col>15</xdr:col>
      <xdr:colOff>551122</xdr:colOff>
      <xdr:row>212</xdr:row>
      <xdr:rowOff>405</xdr:rowOff>
    </xdr:to>
    <xdr:pic>
      <xdr:nvPicPr>
        <xdr:cNvPr id="158" name="Picture 157">
          <a:extLst>
            <a:ext uri="{FF2B5EF4-FFF2-40B4-BE49-F238E27FC236}">
              <a16:creationId xmlns:a16="http://schemas.microsoft.com/office/drawing/2014/main" id="{0D31B456-6F22-4574-B937-120D863053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815353" y="17817353"/>
          <a:ext cx="6004800" cy="4561200"/>
        </a:xfrm>
        <a:prstGeom prst="rect">
          <a:avLst/>
        </a:prstGeom>
      </xdr:spPr>
    </xdr:pic>
    <xdr:clientData/>
  </xdr:twoCellAnchor>
  <xdr:twoCellAnchor>
    <xdr:from>
      <xdr:col>3</xdr:col>
      <xdr:colOff>259977</xdr:colOff>
      <xdr:row>189</xdr:row>
      <xdr:rowOff>136711</xdr:rowOff>
    </xdr:from>
    <xdr:to>
      <xdr:col>5</xdr:col>
      <xdr:colOff>259977</xdr:colOff>
      <xdr:row>193</xdr:row>
      <xdr:rowOff>89647</xdr:rowOff>
    </xdr:to>
    <xdr:sp macro="" textlink="">
      <xdr:nvSpPr>
        <xdr:cNvPr id="159" name="TextBox 158">
          <a:extLst>
            <a:ext uri="{FF2B5EF4-FFF2-40B4-BE49-F238E27FC236}">
              <a16:creationId xmlns:a16="http://schemas.microsoft.com/office/drawing/2014/main" id="{3BA22077-B66B-4539-8307-2F21697FCC18}"/>
            </a:ext>
          </a:extLst>
        </xdr:cNvPr>
        <xdr:cNvSpPr txBox="1"/>
      </xdr:nvSpPr>
      <xdr:spPr>
        <a:xfrm>
          <a:off x="259977" y="18144564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date when</a:t>
          </a:r>
          <a:r>
            <a:rPr lang="en-AU" sz="1000" baseline="0"/>
            <a:t> CDA is received from sponsor</a:t>
          </a:r>
        </a:p>
        <a:p>
          <a:endParaRPr lang="en-AU" sz="1000"/>
        </a:p>
      </xdr:txBody>
    </xdr:sp>
    <xdr:clientData/>
  </xdr:twoCellAnchor>
  <xdr:twoCellAnchor>
    <xdr:from>
      <xdr:col>5</xdr:col>
      <xdr:colOff>259977</xdr:colOff>
      <xdr:row>191</xdr:row>
      <xdr:rowOff>113179</xdr:rowOff>
    </xdr:from>
    <xdr:to>
      <xdr:col>9</xdr:col>
      <xdr:colOff>515470</xdr:colOff>
      <xdr:row>195</xdr:row>
      <xdr:rowOff>134471</xdr:rowOff>
    </xdr:to>
    <xdr:cxnSp macro="">
      <xdr:nvCxnSpPr>
        <xdr:cNvPr id="160" name="Straight Arrow Connector 159">
          <a:extLst>
            <a:ext uri="{FF2B5EF4-FFF2-40B4-BE49-F238E27FC236}">
              <a16:creationId xmlns:a16="http://schemas.microsoft.com/office/drawing/2014/main" id="{771CB8BD-3AEA-42D4-A1A3-02CACED9C26B}"/>
            </a:ext>
          </a:extLst>
        </xdr:cNvPr>
        <xdr:cNvCxnSpPr>
          <a:stCxn id="159" idx="3"/>
        </xdr:cNvCxnSpPr>
      </xdr:nvCxnSpPr>
      <xdr:spPr>
        <a:xfrm>
          <a:off x="1470212" y="18502032"/>
          <a:ext cx="2675964" cy="783292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277907</xdr:colOff>
      <xdr:row>195</xdr:row>
      <xdr:rowOff>153520</xdr:rowOff>
    </xdr:from>
    <xdr:to>
      <xdr:col>9</xdr:col>
      <xdr:colOff>515470</xdr:colOff>
      <xdr:row>197</xdr:row>
      <xdr:rowOff>78441</xdr:rowOff>
    </xdr:to>
    <xdr:cxnSp macro="">
      <xdr:nvCxnSpPr>
        <xdr:cNvPr id="167" name="Straight Arrow Connector 166">
          <a:extLst>
            <a:ext uri="{FF2B5EF4-FFF2-40B4-BE49-F238E27FC236}">
              <a16:creationId xmlns:a16="http://schemas.microsoft.com/office/drawing/2014/main" id="{4CB30A23-A10C-43EB-B6A9-A3E7AA4BB5B4}"/>
            </a:ext>
          </a:extLst>
        </xdr:cNvPr>
        <xdr:cNvCxnSpPr>
          <a:stCxn id="171" idx="3"/>
        </xdr:cNvCxnSpPr>
      </xdr:nvCxnSpPr>
      <xdr:spPr>
        <a:xfrm>
          <a:off x="1488142" y="19304373"/>
          <a:ext cx="2658034" cy="305921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277907</xdr:colOff>
      <xdr:row>193</xdr:row>
      <xdr:rowOff>177052</xdr:rowOff>
    </xdr:from>
    <xdr:to>
      <xdr:col>5</xdr:col>
      <xdr:colOff>277907</xdr:colOff>
      <xdr:row>197</xdr:row>
      <xdr:rowOff>129988</xdr:rowOff>
    </xdr:to>
    <xdr:sp macro="" textlink="">
      <xdr:nvSpPr>
        <xdr:cNvPr id="171" name="TextBox 170">
          <a:extLst>
            <a:ext uri="{FF2B5EF4-FFF2-40B4-BE49-F238E27FC236}">
              <a16:creationId xmlns:a16="http://schemas.microsoft.com/office/drawing/2014/main" id="{14C98560-4B56-4ACA-8EB0-C4C027574A8D}"/>
            </a:ext>
          </a:extLst>
        </xdr:cNvPr>
        <xdr:cNvSpPr txBox="1"/>
      </xdr:nvSpPr>
      <xdr:spPr>
        <a:xfrm>
          <a:off x="277907" y="18946905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date when</a:t>
          </a:r>
          <a:r>
            <a:rPr lang="en-AU" sz="1000" baseline="0"/>
            <a:t> CDA is sent to CRO</a:t>
          </a:r>
        </a:p>
        <a:p>
          <a:endParaRPr lang="en-AU" sz="1000"/>
        </a:p>
      </xdr:txBody>
    </xdr:sp>
    <xdr:clientData/>
  </xdr:twoCellAnchor>
  <xdr:twoCellAnchor>
    <xdr:from>
      <xdr:col>3</xdr:col>
      <xdr:colOff>329453</xdr:colOff>
      <xdr:row>199</xdr:row>
      <xdr:rowOff>161363</xdr:rowOff>
    </xdr:from>
    <xdr:to>
      <xdr:col>5</xdr:col>
      <xdr:colOff>329453</xdr:colOff>
      <xdr:row>203</xdr:row>
      <xdr:rowOff>114299</xdr:rowOff>
    </xdr:to>
    <xdr:sp macro="" textlink="">
      <xdr:nvSpPr>
        <xdr:cNvPr id="172" name="TextBox 171">
          <a:extLst>
            <a:ext uri="{FF2B5EF4-FFF2-40B4-BE49-F238E27FC236}">
              <a16:creationId xmlns:a16="http://schemas.microsoft.com/office/drawing/2014/main" id="{7474E62D-2509-40EC-B3AE-E1B20D73A4D2}"/>
            </a:ext>
          </a:extLst>
        </xdr:cNvPr>
        <xdr:cNvSpPr txBox="1"/>
      </xdr:nvSpPr>
      <xdr:spPr>
        <a:xfrm>
          <a:off x="329453" y="20074216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date when</a:t>
          </a:r>
          <a:r>
            <a:rPr lang="en-AU" sz="1000" baseline="0"/>
            <a:t> CDA has been reviewed and received from CRO</a:t>
          </a:r>
        </a:p>
      </xdr:txBody>
    </xdr:sp>
    <xdr:clientData/>
  </xdr:twoCellAnchor>
  <xdr:twoCellAnchor>
    <xdr:from>
      <xdr:col>5</xdr:col>
      <xdr:colOff>329453</xdr:colOff>
      <xdr:row>200</xdr:row>
      <xdr:rowOff>0</xdr:rowOff>
    </xdr:from>
    <xdr:to>
      <xdr:col>9</xdr:col>
      <xdr:colOff>582706</xdr:colOff>
      <xdr:row>201</xdr:row>
      <xdr:rowOff>137831</xdr:rowOff>
    </xdr:to>
    <xdr:cxnSp macro="">
      <xdr:nvCxnSpPr>
        <xdr:cNvPr id="174" name="Straight Arrow Connector 173">
          <a:extLst>
            <a:ext uri="{FF2B5EF4-FFF2-40B4-BE49-F238E27FC236}">
              <a16:creationId xmlns:a16="http://schemas.microsoft.com/office/drawing/2014/main" id="{4AB67AB8-B7D1-4D93-86B7-75808AB5459E}"/>
            </a:ext>
          </a:extLst>
        </xdr:cNvPr>
        <xdr:cNvCxnSpPr>
          <a:stCxn id="172" idx="3"/>
        </xdr:cNvCxnSpPr>
      </xdr:nvCxnSpPr>
      <xdr:spPr>
        <a:xfrm flipV="1">
          <a:off x="1539688" y="20103353"/>
          <a:ext cx="2673724" cy="328331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481854</xdr:colOff>
      <xdr:row>197</xdr:row>
      <xdr:rowOff>190497</xdr:rowOff>
    </xdr:from>
    <xdr:to>
      <xdr:col>18</xdr:col>
      <xdr:colOff>481853</xdr:colOff>
      <xdr:row>202</xdr:row>
      <xdr:rowOff>89646</xdr:rowOff>
    </xdr:to>
    <xdr:sp macro="" textlink="">
      <xdr:nvSpPr>
        <xdr:cNvPr id="179" name="TextBox 178">
          <a:extLst>
            <a:ext uri="{FF2B5EF4-FFF2-40B4-BE49-F238E27FC236}">
              <a16:creationId xmlns:a16="http://schemas.microsoft.com/office/drawing/2014/main" id="{9BBCCE2C-4E62-4C64-BAF2-2AA9B3D562C8}"/>
            </a:ext>
          </a:extLst>
        </xdr:cNvPr>
        <xdr:cNvSpPr txBox="1"/>
      </xdr:nvSpPr>
      <xdr:spPr>
        <a:xfrm>
          <a:off x="8348383" y="19722350"/>
          <a:ext cx="1210235" cy="85164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 baseline="0"/>
            <a:t>Enter appropriate date where Reviewed CDA is sent back to sponsor</a:t>
          </a:r>
        </a:p>
      </xdr:txBody>
    </xdr:sp>
    <xdr:clientData/>
  </xdr:twoCellAnchor>
  <xdr:twoCellAnchor>
    <xdr:from>
      <xdr:col>12</xdr:col>
      <xdr:colOff>190500</xdr:colOff>
      <xdr:row>200</xdr:row>
      <xdr:rowOff>44822</xdr:rowOff>
    </xdr:from>
    <xdr:to>
      <xdr:col>16</xdr:col>
      <xdr:colOff>481854</xdr:colOff>
      <xdr:row>201</xdr:row>
      <xdr:rowOff>112059</xdr:rowOff>
    </xdr:to>
    <xdr:cxnSp macro="">
      <xdr:nvCxnSpPr>
        <xdr:cNvPr id="180" name="Straight Arrow Connector 179">
          <a:extLst>
            <a:ext uri="{FF2B5EF4-FFF2-40B4-BE49-F238E27FC236}">
              <a16:creationId xmlns:a16="http://schemas.microsoft.com/office/drawing/2014/main" id="{48B6138A-EF15-49DF-ADC8-D13FCBA99A9E}"/>
            </a:ext>
          </a:extLst>
        </xdr:cNvPr>
        <xdr:cNvCxnSpPr>
          <a:stCxn id="179" idx="1"/>
        </xdr:cNvCxnSpPr>
      </xdr:nvCxnSpPr>
      <xdr:spPr>
        <a:xfrm flipH="1">
          <a:off x="5636559" y="20148175"/>
          <a:ext cx="2711824" cy="257737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376518</xdr:colOff>
      <xdr:row>202</xdr:row>
      <xdr:rowOff>129985</xdr:rowOff>
    </xdr:from>
    <xdr:to>
      <xdr:col>18</xdr:col>
      <xdr:colOff>376517</xdr:colOff>
      <xdr:row>207</xdr:row>
      <xdr:rowOff>29134</xdr:rowOff>
    </xdr:to>
    <xdr:sp macro="" textlink="">
      <xdr:nvSpPr>
        <xdr:cNvPr id="184" name="TextBox 183">
          <a:extLst>
            <a:ext uri="{FF2B5EF4-FFF2-40B4-BE49-F238E27FC236}">
              <a16:creationId xmlns:a16="http://schemas.microsoft.com/office/drawing/2014/main" id="{E8B5EFFD-D9D1-4964-A8B7-8AF8362DF291}"/>
            </a:ext>
          </a:extLst>
        </xdr:cNvPr>
        <xdr:cNvSpPr txBox="1"/>
      </xdr:nvSpPr>
      <xdr:spPr>
        <a:xfrm>
          <a:off x="8243047" y="20614338"/>
          <a:ext cx="1210235" cy="85164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 baseline="0"/>
            <a:t>Enter appropriate date when CDA is finalised</a:t>
          </a:r>
        </a:p>
      </xdr:txBody>
    </xdr:sp>
    <xdr:clientData/>
  </xdr:twoCellAnchor>
  <xdr:twoCellAnchor>
    <xdr:from>
      <xdr:col>12</xdr:col>
      <xdr:colOff>174812</xdr:colOff>
      <xdr:row>203</xdr:row>
      <xdr:rowOff>96370</xdr:rowOff>
    </xdr:from>
    <xdr:to>
      <xdr:col>16</xdr:col>
      <xdr:colOff>376518</xdr:colOff>
      <xdr:row>204</xdr:row>
      <xdr:rowOff>174810</xdr:rowOff>
    </xdr:to>
    <xdr:cxnSp macro="">
      <xdr:nvCxnSpPr>
        <xdr:cNvPr id="185" name="Straight Arrow Connector 184">
          <a:extLst>
            <a:ext uri="{FF2B5EF4-FFF2-40B4-BE49-F238E27FC236}">
              <a16:creationId xmlns:a16="http://schemas.microsoft.com/office/drawing/2014/main" id="{56B86788-2292-427E-B4DC-B2B1CE73C8B1}"/>
            </a:ext>
          </a:extLst>
        </xdr:cNvPr>
        <xdr:cNvCxnSpPr>
          <a:stCxn id="184" idx="1"/>
        </xdr:cNvCxnSpPr>
      </xdr:nvCxnSpPr>
      <xdr:spPr>
        <a:xfrm flipH="1" flipV="1">
          <a:off x="5620871" y="20771223"/>
          <a:ext cx="2622176" cy="268940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</xdr:col>
      <xdr:colOff>0</xdr:colOff>
      <xdr:row>215</xdr:row>
      <xdr:rowOff>0</xdr:rowOff>
    </xdr:from>
    <xdr:to>
      <xdr:col>15</xdr:col>
      <xdr:colOff>551122</xdr:colOff>
      <xdr:row>239</xdr:row>
      <xdr:rowOff>405</xdr:rowOff>
    </xdr:to>
    <xdr:pic>
      <xdr:nvPicPr>
        <xdr:cNvPr id="187" name="Picture 186">
          <a:extLst>
            <a:ext uri="{FF2B5EF4-FFF2-40B4-BE49-F238E27FC236}">
              <a16:creationId xmlns:a16="http://schemas.microsoft.com/office/drawing/2014/main" id="{D86F642B-44ED-4105-804D-9C94618903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815353" y="22960853"/>
          <a:ext cx="6004800" cy="4561200"/>
        </a:xfrm>
        <a:prstGeom prst="rect">
          <a:avLst/>
        </a:prstGeom>
      </xdr:spPr>
    </xdr:pic>
    <xdr:clientData/>
  </xdr:twoCellAnchor>
  <xdr:twoCellAnchor>
    <xdr:from>
      <xdr:col>16</xdr:col>
      <xdr:colOff>560295</xdr:colOff>
      <xdr:row>219</xdr:row>
      <xdr:rowOff>123263</xdr:rowOff>
    </xdr:from>
    <xdr:to>
      <xdr:col>18</xdr:col>
      <xdr:colOff>560294</xdr:colOff>
      <xdr:row>223</xdr:row>
      <xdr:rowOff>76199</xdr:rowOff>
    </xdr:to>
    <xdr:sp macro="" textlink="">
      <xdr:nvSpPr>
        <xdr:cNvPr id="188" name="TextBox 187">
          <a:extLst>
            <a:ext uri="{FF2B5EF4-FFF2-40B4-BE49-F238E27FC236}">
              <a16:creationId xmlns:a16="http://schemas.microsoft.com/office/drawing/2014/main" id="{507C9108-F4F4-43AE-9813-028424B0126C}"/>
            </a:ext>
          </a:extLst>
        </xdr:cNvPr>
        <xdr:cNvSpPr txBox="1"/>
      </xdr:nvSpPr>
      <xdr:spPr>
        <a:xfrm>
          <a:off x="8426824" y="23846116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date when</a:t>
          </a:r>
          <a:r>
            <a:rPr lang="en-AU" sz="1000" baseline="0"/>
            <a:t> Feasibility contract is received</a:t>
          </a:r>
        </a:p>
      </xdr:txBody>
    </xdr:sp>
    <xdr:clientData/>
  </xdr:twoCellAnchor>
  <xdr:twoCellAnchor>
    <xdr:from>
      <xdr:col>12</xdr:col>
      <xdr:colOff>100853</xdr:colOff>
      <xdr:row>221</xdr:row>
      <xdr:rowOff>99731</xdr:rowOff>
    </xdr:from>
    <xdr:to>
      <xdr:col>16</xdr:col>
      <xdr:colOff>560295</xdr:colOff>
      <xdr:row>223</xdr:row>
      <xdr:rowOff>134471</xdr:rowOff>
    </xdr:to>
    <xdr:cxnSp macro="">
      <xdr:nvCxnSpPr>
        <xdr:cNvPr id="189" name="Straight Arrow Connector 188">
          <a:extLst>
            <a:ext uri="{FF2B5EF4-FFF2-40B4-BE49-F238E27FC236}">
              <a16:creationId xmlns:a16="http://schemas.microsoft.com/office/drawing/2014/main" id="{ECE83E74-1859-40E0-972F-14E990593293}"/>
            </a:ext>
          </a:extLst>
        </xdr:cNvPr>
        <xdr:cNvCxnSpPr>
          <a:stCxn id="188" idx="1"/>
        </xdr:cNvCxnSpPr>
      </xdr:nvCxnSpPr>
      <xdr:spPr>
        <a:xfrm flipH="1">
          <a:off x="5546912" y="24203584"/>
          <a:ext cx="2879912" cy="415740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0</xdr:colOff>
      <xdr:row>225</xdr:row>
      <xdr:rowOff>0</xdr:rowOff>
    </xdr:from>
    <xdr:to>
      <xdr:col>19</xdr:col>
      <xdr:colOff>0</xdr:colOff>
      <xdr:row>228</xdr:row>
      <xdr:rowOff>143436</xdr:rowOff>
    </xdr:to>
    <xdr:sp macro="" textlink="">
      <xdr:nvSpPr>
        <xdr:cNvPr id="193" name="TextBox 192">
          <a:extLst>
            <a:ext uri="{FF2B5EF4-FFF2-40B4-BE49-F238E27FC236}">
              <a16:creationId xmlns:a16="http://schemas.microsoft.com/office/drawing/2014/main" id="{0DCAAAFC-B768-41DD-953D-DADD7A59D0D8}"/>
            </a:ext>
          </a:extLst>
        </xdr:cNvPr>
        <xdr:cNvSpPr txBox="1"/>
      </xdr:nvSpPr>
      <xdr:spPr>
        <a:xfrm>
          <a:off x="8471647" y="24865853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date when</a:t>
          </a:r>
          <a:r>
            <a:rPr lang="en-AU" sz="1000" baseline="0"/>
            <a:t> Feasibility contract is completed</a:t>
          </a:r>
        </a:p>
      </xdr:txBody>
    </xdr:sp>
    <xdr:clientData/>
  </xdr:twoCellAnchor>
  <xdr:twoCellAnchor>
    <xdr:from>
      <xdr:col>12</xdr:col>
      <xdr:colOff>6724</xdr:colOff>
      <xdr:row>226</xdr:row>
      <xdr:rowOff>73959</xdr:rowOff>
    </xdr:from>
    <xdr:to>
      <xdr:col>17</xdr:col>
      <xdr:colOff>0</xdr:colOff>
      <xdr:row>226</xdr:row>
      <xdr:rowOff>166968</xdr:rowOff>
    </xdr:to>
    <xdr:cxnSp macro="">
      <xdr:nvCxnSpPr>
        <xdr:cNvPr id="194" name="Straight Arrow Connector 193">
          <a:extLst>
            <a:ext uri="{FF2B5EF4-FFF2-40B4-BE49-F238E27FC236}">
              <a16:creationId xmlns:a16="http://schemas.microsoft.com/office/drawing/2014/main" id="{73847902-49C1-4DCA-AB9E-36DF44F16DA1}"/>
            </a:ext>
          </a:extLst>
        </xdr:cNvPr>
        <xdr:cNvCxnSpPr>
          <a:stCxn id="193" idx="1"/>
        </xdr:cNvCxnSpPr>
      </xdr:nvCxnSpPr>
      <xdr:spPr>
        <a:xfrm flipH="1" flipV="1">
          <a:off x="5452783" y="25130312"/>
          <a:ext cx="3018864" cy="93009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112060</xdr:colOff>
      <xdr:row>228</xdr:row>
      <xdr:rowOff>134472</xdr:rowOff>
    </xdr:from>
    <xdr:to>
      <xdr:col>16</xdr:col>
      <xdr:colOff>522195</xdr:colOff>
      <xdr:row>231</xdr:row>
      <xdr:rowOff>151279</xdr:rowOff>
    </xdr:to>
    <xdr:cxnSp macro="">
      <xdr:nvCxnSpPr>
        <xdr:cNvPr id="196" name="Straight Arrow Connector 195">
          <a:extLst>
            <a:ext uri="{FF2B5EF4-FFF2-40B4-BE49-F238E27FC236}">
              <a16:creationId xmlns:a16="http://schemas.microsoft.com/office/drawing/2014/main" id="{A8B658DA-5B00-44B6-8E4A-80C572CD4C7B}"/>
            </a:ext>
          </a:extLst>
        </xdr:cNvPr>
        <xdr:cNvCxnSpPr>
          <a:stCxn id="201" idx="1"/>
        </xdr:cNvCxnSpPr>
      </xdr:nvCxnSpPr>
      <xdr:spPr>
        <a:xfrm flipH="1" flipV="1">
          <a:off x="5558119" y="25571825"/>
          <a:ext cx="2830605" cy="588307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522195</xdr:colOff>
      <xdr:row>229</xdr:row>
      <xdr:rowOff>174811</xdr:rowOff>
    </xdr:from>
    <xdr:to>
      <xdr:col>18</xdr:col>
      <xdr:colOff>522194</xdr:colOff>
      <xdr:row>233</xdr:row>
      <xdr:rowOff>127747</xdr:rowOff>
    </xdr:to>
    <xdr:sp macro="" textlink="">
      <xdr:nvSpPr>
        <xdr:cNvPr id="201" name="TextBox 200">
          <a:extLst>
            <a:ext uri="{FF2B5EF4-FFF2-40B4-BE49-F238E27FC236}">
              <a16:creationId xmlns:a16="http://schemas.microsoft.com/office/drawing/2014/main" id="{EB408A79-E9CB-4341-B6EC-13AC22EEBE17}"/>
            </a:ext>
          </a:extLst>
        </xdr:cNvPr>
        <xdr:cNvSpPr txBox="1"/>
      </xdr:nvSpPr>
      <xdr:spPr>
        <a:xfrm>
          <a:off x="8388724" y="25802664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name of who completed the feasibility</a:t>
          </a:r>
          <a:endParaRPr lang="en-AU" sz="1000" baseline="0"/>
        </a:p>
      </xdr:txBody>
    </xdr:sp>
    <xdr:clientData/>
  </xdr:twoCellAnchor>
  <xdr:twoCellAnchor editAs="oneCell">
    <xdr:from>
      <xdr:col>6</xdr:col>
      <xdr:colOff>0</xdr:colOff>
      <xdr:row>243</xdr:row>
      <xdr:rowOff>0</xdr:rowOff>
    </xdr:from>
    <xdr:to>
      <xdr:col>15</xdr:col>
      <xdr:colOff>551122</xdr:colOff>
      <xdr:row>266</xdr:row>
      <xdr:rowOff>154500</xdr:rowOff>
    </xdr:to>
    <xdr:pic>
      <xdr:nvPicPr>
        <xdr:cNvPr id="203" name="Picture 202">
          <a:extLst>
            <a:ext uri="{FF2B5EF4-FFF2-40B4-BE49-F238E27FC236}">
              <a16:creationId xmlns:a16="http://schemas.microsoft.com/office/drawing/2014/main" id="{920B9557-3B79-4D06-B346-0090EDD354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815353" y="28294853"/>
          <a:ext cx="6004800" cy="4536000"/>
        </a:xfrm>
        <a:prstGeom prst="rect">
          <a:avLst/>
        </a:prstGeom>
      </xdr:spPr>
    </xdr:pic>
    <xdr:clientData/>
  </xdr:twoCellAnchor>
  <xdr:twoCellAnchor>
    <xdr:from>
      <xdr:col>16</xdr:col>
      <xdr:colOff>235325</xdr:colOff>
      <xdr:row>245</xdr:row>
      <xdr:rowOff>11205</xdr:rowOff>
    </xdr:from>
    <xdr:to>
      <xdr:col>18</xdr:col>
      <xdr:colOff>235324</xdr:colOff>
      <xdr:row>248</xdr:row>
      <xdr:rowOff>154641</xdr:rowOff>
    </xdr:to>
    <xdr:sp macro="" textlink="">
      <xdr:nvSpPr>
        <xdr:cNvPr id="204" name="TextBox 203">
          <a:extLst>
            <a:ext uri="{FF2B5EF4-FFF2-40B4-BE49-F238E27FC236}">
              <a16:creationId xmlns:a16="http://schemas.microsoft.com/office/drawing/2014/main" id="{DD503C30-FA45-465A-AB20-0FBB6268DC7E}"/>
            </a:ext>
          </a:extLst>
        </xdr:cNvPr>
        <xdr:cNvSpPr txBox="1"/>
      </xdr:nvSpPr>
      <xdr:spPr>
        <a:xfrm>
          <a:off x="8101854" y="28687058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 of the pre-study</a:t>
          </a:r>
          <a:r>
            <a:rPr lang="en-AU" sz="1000" baseline="0"/>
            <a:t> visit</a:t>
          </a:r>
        </a:p>
      </xdr:txBody>
    </xdr:sp>
    <xdr:clientData/>
  </xdr:twoCellAnchor>
  <xdr:twoCellAnchor>
    <xdr:from>
      <xdr:col>11</xdr:col>
      <xdr:colOff>224118</xdr:colOff>
      <xdr:row>246</xdr:row>
      <xdr:rowOff>178173</xdr:rowOff>
    </xdr:from>
    <xdr:to>
      <xdr:col>16</xdr:col>
      <xdr:colOff>235325</xdr:colOff>
      <xdr:row>250</xdr:row>
      <xdr:rowOff>44823</xdr:rowOff>
    </xdr:to>
    <xdr:cxnSp macro="">
      <xdr:nvCxnSpPr>
        <xdr:cNvPr id="205" name="Straight Arrow Connector 204">
          <a:extLst>
            <a:ext uri="{FF2B5EF4-FFF2-40B4-BE49-F238E27FC236}">
              <a16:creationId xmlns:a16="http://schemas.microsoft.com/office/drawing/2014/main" id="{97F7C345-F391-413D-A1CC-C44C64AE6EFD}"/>
            </a:ext>
          </a:extLst>
        </xdr:cNvPr>
        <xdr:cNvCxnSpPr>
          <a:stCxn id="204" idx="1"/>
        </xdr:cNvCxnSpPr>
      </xdr:nvCxnSpPr>
      <xdr:spPr>
        <a:xfrm flipH="1">
          <a:off x="5065059" y="29044526"/>
          <a:ext cx="3036795" cy="628650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212912</xdr:colOff>
      <xdr:row>249</xdr:row>
      <xdr:rowOff>100853</xdr:rowOff>
    </xdr:from>
    <xdr:to>
      <xdr:col>18</xdr:col>
      <xdr:colOff>212911</xdr:colOff>
      <xdr:row>253</xdr:row>
      <xdr:rowOff>53789</xdr:rowOff>
    </xdr:to>
    <xdr:sp macro="" textlink="">
      <xdr:nvSpPr>
        <xdr:cNvPr id="209" name="TextBox 208">
          <a:extLst>
            <a:ext uri="{FF2B5EF4-FFF2-40B4-BE49-F238E27FC236}">
              <a16:creationId xmlns:a16="http://schemas.microsoft.com/office/drawing/2014/main" id="{2E1811FB-BA8A-4FF4-8339-5BD1F40B4F30}"/>
            </a:ext>
          </a:extLst>
        </xdr:cNvPr>
        <xdr:cNvSpPr txBox="1"/>
      </xdr:nvSpPr>
      <xdr:spPr>
        <a:xfrm>
          <a:off x="8079441" y="29538706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type</a:t>
          </a:r>
          <a:r>
            <a:rPr lang="en-AU" sz="1000" baseline="0"/>
            <a:t> of the visit from the drop-down menu</a:t>
          </a:r>
        </a:p>
      </xdr:txBody>
    </xdr:sp>
    <xdr:clientData/>
  </xdr:twoCellAnchor>
  <xdr:twoCellAnchor>
    <xdr:from>
      <xdr:col>11</xdr:col>
      <xdr:colOff>275666</xdr:colOff>
      <xdr:row>251</xdr:row>
      <xdr:rowOff>77321</xdr:rowOff>
    </xdr:from>
    <xdr:to>
      <xdr:col>16</xdr:col>
      <xdr:colOff>212912</xdr:colOff>
      <xdr:row>252</xdr:row>
      <xdr:rowOff>62753</xdr:rowOff>
    </xdr:to>
    <xdr:cxnSp macro="">
      <xdr:nvCxnSpPr>
        <xdr:cNvPr id="210" name="Straight Arrow Connector 209">
          <a:extLst>
            <a:ext uri="{FF2B5EF4-FFF2-40B4-BE49-F238E27FC236}">
              <a16:creationId xmlns:a16="http://schemas.microsoft.com/office/drawing/2014/main" id="{F93183A0-C544-4FFF-84BC-10BBBD304819}"/>
            </a:ext>
          </a:extLst>
        </xdr:cNvPr>
        <xdr:cNvCxnSpPr>
          <a:stCxn id="209" idx="1"/>
        </xdr:cNvCxnSpPr>
      </xdr:nvCxnSpPr>
      <xdr:spPr>
        <a:xfrm flipH="1">
          <a:off x="5116607" y="29896174"/>
          <a:ext cx="2962834" cy="175932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381002</xdr:colOff>
      <xdr:row>254</xdr:row>
      <xdr:rowOff>135591</xdr:rowOff>
    </xdr:from>
    <xdr:to>
      <xdr:col>16</xdr:col>
      <xdr:colOff>197225</xdr:colOff>
      <xdr:row>256</xdr:row>
      <xdr:rowOff>50425</xdr:rowOff>
    </xdr:to>
    <xdr:cxnSp macro="">
      <xdr:nvCxnSpPr>
        <xdr:cNvPr id="212" name="Straight Arrow Connector 211">
          <a:extLst>
            <a:ext uri="{FF2B5EF4-FFF2-40B4-BE49-F238E27FC236}">
              <a16:creationId xmlns:a16="http://schemas.microsoft.com/office/drawing/2014/main" id="{91CABD2E-7E49-4A81-8914-04D25375CF6B}"/>
            </a:ext>
          </a:extLst>
        </xdr:cNvPr>
        <xdr:cNvCxnSpPr>
          <a:stCxn id="214" idx="1"/>
        </xdr:cNvCxnSpPr>
      </xdr:nvCxnSpPr>
      <xdr:spPr>
        <a:xfrm flipH="1" flipV="1">
          <a:off x="5221943" y="30525944"/>
          <a:ext cx="2841811" cy="295834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197225</xdr:colOff>
      <xdr:row>254</xdr:row>
      <xdr:rowOff>73957</xdr:rowOff>
    </xdr:from>
    <xdr:to>
      <xdr:col>18</xdr:col>
      <xdr:colOff>197224</xdr:colOff>
      <xdr:row>258</xdr:row>
      <xdr:rowOff>26893</xdr:rowOff>
    </xdr:to>
    <xdr:sp macro="" textlink="">
      <xdr:nvSpPr>
        <xdr:cNvPr id="214" name="TextBox 213">
          <a:extLst>
            <a:ext uri="{FF2B5EF4-FFF2-40B4-BE49-F238E27FC236}">
              <a16:creationId xmlns:a16="http://schemas.microsoft.com/office/drawing/2014/main" id="{B9EE66FC-C245-4E62-B815-2C644868F3B0}"/>
            </a:ext>
          </a:extLst>
        </xdr:cNvPr>
        <xdr:cNvSpPr txBox="1"/>
      </xdr:nvSpPr>
      <xdr:spPr>
        <a:xfrm>
          <a:off x="8063754" y="30464310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 of the validation</a:t>
          </a:r>
          <a:r>
            <a:rPr lang="en-AU" sz="1000" baseline="0"/>
            <a:t> visit</a:t>
          </a:r>
        </a:p>
      </xdr:txBody>
    </xdr:sp>
    <xdr:clientData/>
  </xdr:twoCellAnchor>
  <xdr:twoCellAnchor>
    <xdr:from>
      <xdr:col>16</xdr:col>
      <xdr:colOff>197224</xdr:colOff>
      <xdr:row>258</xdr:row>
      <xdr:rowOff>107576</xdr:rowOff>
    </xdr:from>
    <xdr:to>
      <xdr:col>18</xdr:col>
      <xdr:colOff>197223</xdr:colOff>
      <xdr:row>262</xdr:row>
      <xdr:rowOff>60512</xdr:rowOff>
    </xdr:to>
    <xdr:sp macro="" textlink="">
      <xdr:nvSpPr>
        <xdr:cNvPr id="216" name="TextBox 215">
          <a:extLst>
            <a:ext uri="{FF2B5EF4-FFF2-40B4-BE49-F238E27FC236}">
              <a16:creationId xmlns:a16="http://schemas.microsoft.com/office/drawing/2014/main" id="{B2B64DFB-54FB-471C-9BB5-8E21247A979D}"/>
            </a:ext>
          </a:extLst>
        </xdr:cNvPr>
        <xdr:cNvSpPr txBox="1"/>
      </xdr:nvSpPr>
      <xdr:spPr>
        <a:xfrm>
          <a:off x="8063753" y="31259929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type</a:t>
          </a:r>
          <a:r>
            <a:rPr lang="en-AU" sz="1000" baseline="0"/>
            <a:t> of the visit from the drop-down menu</a:t>
          </a:r>
        </a:p>
      </xdr:txBody>
    </xdr:sp>
    <xdr:clientData/>
  </xdr:twoCellAnchor>
  <xdr:twoCellAnchor>
    <xdr:from>
      <xdr:col>11</xdr:col>
      <xdr:colOff>466168</xdr:colOff>
      <xdr:row>256</xdr:row>
      <xdr:rowOff>86286</xdr:rowOff>
    </xdr:from>
    <xdr:to>
      <xdr:col>16</xdr:col>
      <xdr:colOff>197224</xdr:colOff>
      <xdr:row>260</xdr:row>
      <xdr:rowOff>84044</xdr:rowOff>
    </xdr:to>
    <xdr:cxnSp macro="">
      <xdr:nvCxnSpPr>
        <xdr:cNvPr id="217" name="Straight Arrow Connector 216">
          <a:extLst>
            <a:ext uri="{FF2B5EF4-FFF2-40B4-BE49-F238E27FC236}">
              <a16:creationId xmlns:a16="http://schemas.microsoft.com/office/drawing/2014/main" id="{DDBC16C1-4F51-4252-AB10-E793420B67C1}"/>
            </a:ext>
          </a:extLst>
        </xdr:cNvPr>
        <xdr:cNvCxnSpPr>
          <a:stCxn id="216" idx="1"/>
        </xdr:cNvCxnSpPr>
      </xdr:nvCxnSpPr>
      <xdr:spPr>
        <a:xfrm flipH="1" flipV="1">
          <a:off x="5307109" y="30857639"/>
          <a:ext cx="2756644" cy="759758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248774</xdr:colOff>
      <xdr:row>258</xdr:row>
      <xdr:rowOff>149039</xdr:rowOff>
    </xdr:from>
    <xdr:to>
      <xdr:col>16</xdr:col>
      <xdr:colOff>136712</xdr:colOff>
      <xdr:row>264</xdr:row>
      <xdr:rowOff>68355</xdr:rowOff>
    </xdr:to>
    <xdr:cxnSp macro="">
      <xdr:nvCxnSpPr>
        <xdr:cNvPr id="219" name="Straight Arrow Connector 218">
          <a:extLst>
            <a:ext uri="{FF2B5EF4-FFF2-40B4-BE49-F238E27FC236}">
              <a16:creationId xmlns:a16="http://schemas.microsoft.com/office/drawing/2014/main" id="{821CE0DB-BD2A-44B3-9AF1-B30E71FC10E3}"/>
            </a:ext>
          </a:extLst>
        </xdr:cNvPr>
        <xdr:cNvCxnSpPr>
          <a:stCxn id="221" idx="1"/>
        </xdr:cNvCxnSpPr>
      </xdr:nvCxnSpPr>
      <xdr:spPr>
        <a:xfrm flipH="1" flipV="1">
          <a:off x="5089715" y="31301392"/>
          <a:ext cx="2913526" cy="1062316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136712</xdr:colOff>
      <xdr:row>262</xdr:row>
      <xdr:rowOff>91887</xdr:rowOff>
    </xdr:from>
    <xdr:to>
      <xdr:col>18</xdr:col>
      <xdr:colOff>136711</xdr:colOff>
      <xdr:row>266</xdr:row>
      <xdr:rowOff>44823</xdr:rowOff>
    </xdr:to>
    <xdr:sp macro="" textlink="">
      <xdr:nvSpPr>
        <xdr:cNvPr id="221" name="TextBox 220">
          <a:extLst>
            <a:ext uri="{FF2B5EF4-FFF2-40B4-BE49-F238E27FC236}">
              <a16:creationId xmlns:a16="http://schemas.microsoft.com/office/drawing/2014/main" id="{96BD32C0-64E5-4739-BB4A-028EBD581995}"/>
            </a:ext>
          </a:extLst>
        </xdr:cNvPr>
        <xdr:cNvSpPr txBox="1"/>
      </xdr:nvSpPr>
      <xdr:spPr>
        <a:xfrm>
          <a:off x="8003241" y="32006240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 of the final</a:t>
          </a:r>
          <a:r>
            <a:rPr lang="en-AU" sz="1000" baseline="0"/>
            <a:t> site selection</a:t>
          </a:r>
        </a:p>
      </xdr:txBody>
    </xdr:sp>
    <xdr:clientData/>
  </xdr:twoCellAnchor>
  <xdr:twoCellAnchor editAs="oneCell">
    <xdr:from>
      <xdr:col>6</xdr:col>
      <xdr:colOff>0</xdr:colOff>
      <xdr:row>270</xdr:row>
      <xdr:rowOff>0</xdr:rowOff>
    </xdr:from>
    <xdr:to>
      <xdr:col>15</xdr:col>
      <xdr:colOff>551122</xdr:colOff>
      <xdr:row>294</xdr:row>
      <xdr:rowOff>19245</xdr:rowOff>
    </xdr:to>
    <xdr:pic>
      <xdr:nvPicPr>
        <xdr:cNvPr id="223" name="Picture 222">
          <a:extLst>
            <a:ext uri="{FF2B5EF4-FFF2-40B4-BE49-F238E27FC236}">
              <a16:creationId xmlns:a16="http://schemas.microsoft.com/office/drawing/2014/main" id="{2DC414A7-7EA1-41F6-B12C-3EC6A337CA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815353" y="33438353"/>
          <a:ext cx="6004800" cy="4564800"/>
        </a:xfrm>
        <a:prstGeom prst="rect">
          <a:avLst/>
        </a:prstGeom>
      </xdr:spPr>
    </xdr:pic>
    <xdr:clientData/>
  </xdr:twoCellAnchor>
  <xdr:twoCellAnchor>
    <xdr:from>
      <xdr:col>16</xdr:col>
      <xdr:colOff>244288</xdr:colOff>
      <xdr:row>280</xdr:row>
      <xdr:rowOff>98610</xdr:rowOff>
    </xdr:from>
    <xdr:to>
      <xdr:col>18</xdr:col>
      <xdr:colOff>244287</xdr:colOff>
      <xdr:row>284</xdr:row>
      <xdr:rowOff>51546</xdr:rowOff>
    </xdr:to>
    <xdr:sp macro="" textlink="">
      <xdr:nvSpPr>
        <xdr:cNvPr id="224" name="TextBox 223">
          <a:extLst>
            <a:ext uri="{FF2B5EF4-FFF2-40B4-BE49-F238E27FC236}">
              <a16:creationId xmlns:a16="http://schemas.microsoft.com/office/drawing/2014/main" id="{8E16DE35-7992-4250-A884-49162541706F}"/>
            </a:ext>
          </a:extLst>
        </xdr:cNvPr>
        <xdr:cNvSpPr txBox="1"/>
      </xdr:nvSpPr>
      <xdr:spPr>
        <a:xfrm>
          <a:off x="8110817" y="35441963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 of planning</a:t>
          </a:r>
          <a:r>
            <a:rPr lang="en-AU" sz="1000" baseline="0"/>
            <a:t> meeting</a:t>
          </a:r>
        </a:p>
      </xdr:txBody>
    </xdr:sp>
    <xdr:clientData/>
  </xdr:twoCellAnchor>
  <xdr:twoCellAnchor>
    <xdr:from>
      <xdr:col>11</xdr:col>
      <xdr:colOff>448237</xdr:colOff>
      <xdr:row>281</xdr:row>
      <xdr:rowOff>123267</xdr:rowOff>
    </xdr:from>
    <xdr:to>
      <xdr:col>16</xdr:col>
      <xdr:colOff>244288</xdr:colOff>
      <xdr:row>282</xdr:row>
      <xdr:rowOff>75078</xdr:rowOff>
    </xdr:to>
    <xdr:cxnSp macro="">
      <xdr:nvCxnSpPr>
        <xdr:cNvPr id="225" name="Straight Arrow Connector 224">
          <a:extLst>
            <a:ext uri="{FF2B5EF4-FFF2-40B4-BE49-F238E27FC236}">
              <a16:creationId xmlns:a16="http://schemas.microsoft.com/office/drawing/2014/main" id="{D4E33339-9008-4891-A06F-6AC8C3B1C4E9}"/>
            </a:ext>
          </a:extLst>
        </xdr:cNvPr>
        <xdr:cNvCxnSpPr>
          <a:stCxn id="224" idx="1"/>
        </xdr:cNvCxnSpPr>
      </xdr:nvCxnSpPr>
      <xdr:spPr>
        <a:xfrm flipH="1" flipV="1">
          <a:off x="5289178" y="35657120"/>
          <a:ext cx="2821639" cy="142311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</xdr:col>
      <xdr:colOff>11205</xdr:colOff>
      <xdr:row>297</xdr:row>
      <xdr:rowOff>156883</xdr:rowOff>
    </xdr:from>
    <xdr:to>
      <xdr:col>15</xdr:col>
      <xdr:colOff>569947</xdr:colOff>
      <xdr:row>320</xdr:row>
      <xdr:rowOff>57435</xdr:rowOff>
    </xdr:to>
    <xdr:pic>
      <xdr:nvPicPr>
        <xdr:cNvPr id="230" name="Picture 229">
          <a:extLst>
            <a:ext uri="{FF2B5EF4-FFF2-40B4-BE49-F238E27FC236}">
              <a16:creationId xmlns:a16="http://schemas.microsoft.com/office/drawing/2014/main" id="{DD056BB5-9900-4A54-9047-71D84CF74A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826558" y="38783559"/>
          <a:ext cx="6004800" cy="4282053"/>
        </a:xfrm>
        <a:prstGeom prst="rect">
          <a:avLst/>
        </a:prstGeom>
      </xdr:spPr>
    </xdr:pic>
    <xdr:clientData/>
  </xdr:twoCellAnchor>
  <xdr:twoCellAnchor>
    <xdr:from>
      <xdr:col>5</xdr:col>
      <xdr:colOff>289111</xdr:colOff>
      <xdr:row>303</xdr:row>
      <xdr:rowOff>161365</xdr:rowOff>
    </xdr:from>
    <xdr:to>
      <xdr:col>8</xdr:col>
      <xdr:colOff>324971</xdr:colOff>
      <xdr:row>306</xdr:row>
      <xdr:rowOff>56030</xdr:rowOff>
    </xdr:to>
    <xdr:cxnSp macro="">
      <xdr:nvCxnSpPr>
        <xdr:cNvPr id="231" name="Straight Arrow Connector 230">
          <a:extLst>
            <a:ext uri="{FF2B5EF4-FFF2-40B4-BE49-F238E27FC236}">
              <a16:creationId xmlns:a16="http://schemas.microsoft.com/office/drawing/2014/main" id="{D1FED08B-CB38-4937-8C8E-05559E144C3E}"/>
            </a:ext>
          </a:extLst>
        </xdr:cNvPr>
        <xdr:cNvCxnSpPr>
          <a:stCxn id="233" idx="3"/>
        </xdr:cNvCxnSpPr>
      </xdr:nvCxnSpPr>
      <xdr:spPr>
        <a:xfrm>
          <a:off x="1499346" y="39942247"/>
          <a:ext cx="1851213" cy="466165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289111</xdr:colOff>
      <xdr:row>302</xdr:row>
      <xdr:rowOff>42582</xdr:rowOff>
    </xdr:from>
    <xdr:to>
      <xdr:col>5</xdr:col>
      <xdr:colOff>289111</xdr:colOff>
      <xdr:row>305</xdr:row>
      <xdr:rowOff>89648</xdr:rowOff>
    </xdr:to>
    <xdr:sp macro="" textlink="">
      <xdr:nvSpPr>
        <xdr:cNvPr id="233" name="TextBox 232">
          <a:extLst>
            <a:ext uri="{FF2B5EF4-FFF2-40B4-BE49-F238E27FC236}">
              <a16:creationId xmlns:a16="http://schemas.microsoft.com/office/drawing/2014/main" id="{48ACF05A-BEC3-4B1D-B53A-48846D4B9A18}"/>
            </a:ext>
          </a:extLst>
        </xdr:cNvPr>
        <xdr:cNvSpPr txBox="1"/>
      </xdr:nvSpPr>
      <xdr:spPr>
        <a:xfrm>
          <a:off x="289111" y="39632964"/>
          <a:ext cx="121023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ethics review is submitted </a:t>
          </a:r>
        </a:p>
      </xdr:txBody>
    </xdr:sp>
    <xdr:clientData/>
  </xdr:twoCellAnchor>
  <xdr:twoCellAnchor>
    <xdr:from>
      <xdr:col>6</xdr:col>
      <xdr:colOff>519952</xdr:colOff>
      <xdr:row>298</xdr:row>
      <xdr:rowOff>116541</xdr:rowOff>
    </xdr:from>
    <xdr:to>
      <xdr:col>9</xdr:col>
      <xdr:colOff>369794</xdr:colOff>
      <xdr:row>301</xdr:row>
      <xdr:rowOff>179295</xdr:rowOff>
    </xdr:to>
    <xdr:sp macro="" textlink="">
      <xdr:nvSpPr>
        <xdr:cNvPr id="239" name="TextBox 238">
          <a:extLst>
            <a:ext uri="{FF2B5EF4-FFF2-40B4-BE49-F238E27FC236}">
              <a16:creationId xmlns:a16="http://schemas.microsoft.com/office/drawing/2014/main" id="{5CC8BBCB-BA00-48BD-AE9A-337416C00008}"/>
            </a:ext>
          </a:extLst>
        </xdr:cNvPr>
        <xdr:cNvSpPr txBox="1"/>
      </xdr:nvSpPr>
      <xdr:spPr>
        <a:xfrm>
          <a:off x="2335305" y="38944923"/>
          <a:ext cx="1665195" cy="63425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 baseline="0"/>
            <a:t>Different companies that can approve ethics</a:t>
          </a:r>
        </a:p>
      </xdr:txBody>
    </xdr:sp>
    <xdr:clientData/>
  </xdr:twoCellAnchor>
  <xdr:twoCellAnchor>
    <xdr:from>
      <xdr:col>6</xdr:col>
      <xdr:colOff>515471</xdr:colOff>
      <xdr:row>301</xdr:row>
      <xdr:rowOff>179295</xdr:rowOff>
    </xdr:from>
    <xdr:to>
      <xdr:col>8</xdr:col>
      <xdr:colOff>142315</xdr:colOff>
      <xdr:row>304</xdr:row>
      <xdr:rowOff>89647</xdr:rowOff>
    </xdr:to>
    <xdr:cxnSp macro="">
      <xdr:nvCxnSpPr>
        <xdr:cNvPr id="240" name="Straight Arrow Connector 239">
          <a:extLst>
            <a:ext uri="{FF2B5EF4-FFF2-40B4-BE49-F238E27FC236}">
              <a16:creationId xmlns:a16="http://schemas.microsoft.com/office/drawing/2014/main" id="{AED3D90D-EB0B-418B-90A2-85CDC6D94992}"/>
            </a:ext>
          </a:extLst>
        </xdr:cNvPr>
        <xdr:cNvCxnSpPr>
          <a:stCxn id="239" idx="2"/>
        </xdr:cNvCxnSpPr>
      </xdr:nvCxnSpPr>
      <xdr:spPr>
        <a:xfrm flipH="1">
          <a:off x="2330824" y="39579177"/>
          <a:ext cx="837079" cy="481852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280147</xdr:colOff>
      <xdr:row>301</xdr:row>
      <xdr:rowOff>179295</xdr:rowOff>
    </xdr:from>
    <xdr:to>
      <xdr:col>8</xdr:col>
      <xdr:colOff>142315</xdr:colOff>
      <xdr:row>304</xdr:row>
      <xdr:rowOff>67236</xdr:rowOff>
    </xdr:to>
    <xdr:cxnSp macro="">
      <xdr:nvCxnSpPr>
        <xdr:cNvPr id="243" name="Straight Arrow Connector 242">
          <a:extLst>
            <a:ext uri="{FF2B5EF4-FFF2-40B4-BE49-F238E27FC236}">
              <a16:creationId xmlns:a16="http://schemas.microsoft.com/office/drawing/2014/main" id="{2CB04C62-B354-482A-BB4D-030395E24EB5}"/>
            </a:ext>
          </a:extLst>
        </xdr:cNvPr>
        <xdr:cNvCxnSpPr>
          <a:stCxn id="239" idx="2"/>
        </xdr:cNvCxnSpPr>
      </xdr:nvCxnSpPr>
      <xdr:spPr>
        <a:xfrm flipH="1">
          <a:off x="2700618" y="39579177"/>
          <a:ext cx="467285" cy="459441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571500</xdr:colOff>
      <xdr:row>301</xdr:row>
      <xdr:rowOff>179295</xdr:rowOff>
    </xdr:from>
    <xdr:to>
      <xdr:col>8</xdr:col>
      <xdr:colOff>142315</xdr:colOff>
      <xdr:row>304</xdr:row>
      <xdr:rowOff>123265</xdr:rowOff>
    </xdr:to>
    <xdr:cxnSp macro="">
      <xdr:nvCxnSpPr>
        <xdr:cNvPr id="246" name="Straight Arrow Connector 245">
          <a:extLst>
            <a:ext uri="{FF2B5EF4-FFF2-40B4-BE49-F238E27FC236}">
              <a16:creationId xmlns:a16="http://schemas.microsoft.com/office/drawing/2014/main" id="{80C89670-1BC0-489C-BAB0-C08ED5048D45}"/>
            </a:ext>
          </a:extLst>
        </xdr:cNvPr>
        <xdr:cNvCxnSpPr>
          <a:stCxn id="239" idx="2"/>
        </xdr:cNvCxnSpPr>
      </xdr:nvCxnSpPr>
      <xdr:spPr>
        <a:xfrm flipH="1">
          <a:off x="2991971" y="39579177"/>
          <a:ext cx="175932" cy="515470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142315</xdr:colOff>
      <xdr:row>301</xdr:row>
      <xdr:rowOff>179295</xdr:rowOff>
    </xdr:from>
    <xdr:to>
      <xdr:col>8</xdr:col>
      <xdr:colOff>336177</xdr:colOff>
      <xdr:row>304</xdr:row>
      <xdr:rowOff>100853</xdr:rowOff>
    </xdr:to>
    <xdr:cxnSp macro="">
      <xdr:nvCxnSpPr>
        <xdr:cNvPr id="249" name="Straight Arrow Connector 248">
          <a:extLst>
            <a:ext uri="{FF2B5EF4-FFF2-40B4-BE49-F238E27FC236}">
              <a16:creationId xmlns:a16="http://schemas.microsoft.com/office/drawing/2014/main" id="{DC5BA3FA-C7FE-44EF-ADCF-D01EEC75FA96}"/>
            </a:ext>
          </a:extLst>
        </xdr:cNvPr>
        <xdr:cNvCxnSpPr>
          <a:stCxn id="239" idx="2"/>
        </xdr:cNvCxnSpPr>
      </xdr:nvCxnSpPr>
      <xdr:spPr>
        <a:xfrm>
          <a:off x="3167903" y="39579177"/>
          <a:ext cx="193862" cy="493058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142315</xdr:colOff>
      <xdr:row>301</xdr:row>
      <xdr:rowOff>179295</xdr:rowOff>
    </xdr:from>
    <xdr:to>
      <xdr:col>9</xdr:col>
      <xdr:colOff>89647</xdr:colOff>
      <xdr:row>304</xdr:row>
      <xdr:rowOff>100853</xdr:rowOff>
    </xdr:to>
    <xdr:cxnSp macro="">
      <xdr:nvCxnSpPr>
        <xdr:cNvPr id="252" name="Straight Arrow Connector 251">
          <a:extLst>
            <a:ext uri="{FF2B5EF4-FFF2-40B4-BE49-F238E27FC236}">
              <a16:creationId xmlns:a16="http://schemas.microsoft.com/office/drawing/2014/main" id="{889484A2-6212-438E-9204-1E3E6C75AD60}"/>
            </a:ext>
          </a:extLst>
        </xdr:cNvPr>
        <xdr:cNvCxnSpPr>
          <a:stCxn id="239" idx="2"/>
        </xdr:cNvCxnSpPr>
      </xdr:nvCxnSpPr>
      <xdr:spPr>
        <a:xfrm>
          <a:off x="3167903" y="39579177"/>
          <a:ext cx="552450" cy="493058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295834</xdr:colOff>
      <xdr:row>306</xdr:row>
      <xdr:rowOff>172572</xdr:rowOff>
    </xdr:from>
    <xdr:to>
      <xdr:col>5</xdr:col>
      <xdr:colOff>295834</xdr:colOff>
      <xdr:row>310</xdr:row>
      <xdr:rowOff>11206</xdr:rowOff>
    </xdr:to>
    <xdr:sp macro="" textlink="">
      <xdr:nvSpPr>
        <xdr:cNvPr id="259" name="TextBox 258">
          <a:extLst>
            <a:ext uri="{FF2B5EF4-FFF2-40B4-BE49-F238E27FC236}">
              <a16:creationId xmlns:a16="http://schemas.microsoft.com/office/drawing/2014/main" id="{E7E2F578-7232-42D5-8C55-4AD2AAB436C9}"/>
            </a:ext>
          </a:extLst>
        </xdr:cNvPr>
        <xdr:cNvSpPr txBox="1"/>
      </xdr:nvSpPr>
      <xdr:spPr>
        <a:xfrm>
          <a:off x="295834" y="40524954"/>
          <a:ext cx="1210235" cy="60063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the respond is received</a:t>
          </a:r>
        </a:p>
      </xdr:txBody>
    </xdr:sp>
    <xdr:clientData/>
  </xdr:twoCellAnchor>
  <xdr:twoCellAnchor>
    <xdr:from>
      <xdr:col>5</xdr:col>
      <xdr:colOff>295834</xdr:colOff>
      <xdr:row>308</xdr:row>
      <xdr:rowOff>0</xdr:rowOff>
    </xdr:from>
    <xdr:to>
      <xdr:col>8</xdr:col>
      <xdr:colOff>336177</xdr:colOff>
      <xdr:row>308</xdr:row>
      <xdr:rowOff>91889</xdr:rowOff>
    </xdr:to>
    <xdr:cxnSp macro="">
      <xdr:nvCxnSpPr>
        <xdr:cNvPr id="260" name="Straight Arrow Connector 259">
          <a:extLst>
            <a:ext uri="{FF2B5EF4-FFF2-40B4-BE49-F238E27FC236}">
              <a16:creationId xmlns:a16="http://schemas.microsoft.com/office/drawing/2014/main" id="{AF5538E4-8B79-47D3-A0FF-6EA1C9E163FD}"/>
            </a:ext>
          </a:extLst>
        </xdr:cNvPr>
        <xdr:cNvCxnSpPr>
          <a:stCxn id="259" idx="3"/>
        </xdr:cNvCxnSpPr>
      </xdr:nvCxnSpPr>
      <xdr:spPr>
        <a:xfrm flipV="1">
          <a:off x="1506069" y="40733382"/>
          <a:ext cx="1855696" cy="91889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235322</xdr:colOff>
      <xdr:row>304</xdr:row>
      <xdr:rowOff>145677</xdr:rowOff>
    </xdr:from>
    <xdr:to>
      <xdr:col>19</xdr:col>
      <xdr:colOff>313765</xdr:colOff>
      <xdr:row>307</xdr:row>
      <xdr:rowOff>33618</xdr:rowOff>
    </xdr:to>
    <xdr:sp macro="" textlink="">
      <xdr:nvSpPr>
        <xdr:cNvPr id="267" name="TextBox 266">
          <a:extLst>
            <a:ext uri="{FF2B5EF4-FFF2-40B4-BE49-F238E27FC236}">
              <a16:creationId xmlns:a16="http://schemas.microsoft.com/office/drawing/2014/main" id="{97457842-4FDF-4470-A021-18DFB4915E4D}"/>
            </a:ext>
          </a:extLst>
        </xdr:cNvPr>
        <xdr:cNvSpPr txBox="1"/>
      </xdr:nvSpPr>
      <xdr:spPr>
        <a:xfrm>
          <a:off x="8101851" y="40117059"/>
          <a:ext cx="1893796" cy="45944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</a:t>
          </a:r>
          <a:r>
            <a:rPr lang="en-AU" sz="1000" baseline="0"/>
            <a:t> date when the ethics review is resubmitted</a:t>
          </a:r>
        </a:p>
      </xdr:txBody>
    </xdr:sp>
    <xdr:clientData/>
  </xdr:twoCellAnchor>
  <xdr:twoCellAnchor>
    <xdr:from>
      <xdr:col>10</xdr:col>
      <xdr:colOff>56031</xdr:colOff>
      <xdr:row>305</xdr:row>
      <xdr:rowOff>184898</xdr:rowOff>
    </xdr:from>
    <xdr:to>
      <xdr:col>16</xdr:col>
      <xdr:colOff>235322</xdr:colOff>
      <xdr:row>309</xdr:row>
      <xdr:rowOff>22412</xdr:rowOff>
    </xdr:to>
    <xdr:cxnSp macro="">
      <xdr:nvCxnSpPr>
        <xdr:cNvPr id="269" name="Straight Arrow Connector 268">
          <a:extLst>
            <a:ext uri="{FF2B5EF4-FFF2-40B4-BE49-F238E27FC236}">
              <a16:creationId xmlns:a16="http://schemas.microsoft.com/office/drawing/2014/main" id="{43A4E2AA-7823-499E-B5FD-913960687D9E}"/>
            </a:ext>
          </a:extLst>
        </xdr:cNvPr>
        <xdr:cNvCxnSpPr>
          <a:stCxn id="267" idx="1"/>
        </xdr:cNvCxnSpPr>
      </xdr:nvCxnSpPr>
      <xdr:spPr>
        <a:xfrm flipH="1">
          <a:off x="4291855" y="40346780"/>
          <a:ext cx="3809996" cy="599514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230839</xdr:colOff>
      <xdr:row>308</xdr:row>
      <xdr:rowOff>174812</xdr:rowOff>
    </xdr:from>
    <xdr:to>
      <xdr:col>19</xdr:col>
      <xdr:colOff>309282</xdr:colOff>
      <xdr:row>311</xdr:row>
      <xdr:rowOff>62753</xdr:rowOff>
    </xdr:to>
    <xdr:sp macro="" textlink="">
      <xdr:nvSpPr>
        <xdr:cNvPr id="280" name="TextBox 279">
          <a:extLst>
            <a:ext uri="{FF2B5EF4-FFF2-40B4-BE49-F238E27FC236}">
              <a16:creationId xmlns:a16="http://schemas.microsoft.com/office/drawing/2014/main" id="{DCE530F4-8342-4342-9FE3-777C0B61A908}"/>
            </a:ext>
          </a:extLst>
        </xdr:cNvPr>
        <xdr:cNvSpPr txBox="1"/>
      </xdr:nvSpPr>
      <xdr:spPr>
        <a:xfrm>
          <a:off x="8097368" y="40908194"/>
          <a:ext cx="1893796" cy="45944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</a:t>
          </a:r>
          <a:r>
            <a:rPr lang="en-AU" sz="1000" baseline="0"/>
            <a:t> date when ethics review is approved</a:t>
          </a:r>
        </a:p>
      </xdr:txBody>
    </xdr:sp>
    <xdr:clientData/>
  </xdr:twoCellAnchor>
  <xdr:twoCellAnchor>
    <xdr:from>
      <xdr:col>9</xdr:col>
      <xdr:colOff>567019</xdr:colOff>
      <xdr:row>310</xdr:row>
      <xdr:rowOff>23533</xdr:rowOff>
    </xdr:from>
    <xdr:to>
      <xdr:col>16</xdr:col>
      <xdr:colOff>230839</xdr:colOff>
      <xdr:row>310</xdr:row>
      <xdr:rowOff>174812</xdr:rowOff>
    </xdr:to>
    <xdr:cxnSp macro="">
      <xdr:nvCxnSpPr>
        <xdr:cNvPr id="281" name="Straight Arrow Connector 280">
          <a:extLst>
            <a:ext uri="{FF2B5EF4-FFF2-40B4-BE49-F238E27FC236}">
              <a16:creationId xmlns:a16="http://schemas.microsoft.com/office/drawing/2014/main" id="{24AF78E9-AACA-4810-89D5-93F32A518FE3}"/>
            </a:ext>
          </a:extLst>
        </xdr:cNvPr>
        <xdr:cNvCxnSpPr>
          <a:stCxn id="280" idx="1"/>
        </xdr:cNvCxnSpPr>
      </xdr:nvCxnSpPr>
      <xdr:spPr>
        <a:xfrm flipH="1">
          <a:off x="4197725" y="41137915"/>
          <a:ext cx="3899643" cy="151279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</xdr:col>
      <xdr:colOff>0</xdr:colOff>
      <xdr:row>324</xdr:row>
      <xdr:rowOff>11205</xdr:rowOff>
    </xdr:from>
    <xdr:to>
      <xdr:col>15</xdr:col>
      <xdr:colOff>551122</xdr:colOff>
      <xdr:row>348</xdr:row>
      <xdr:rowOff>19246</xdr:rowOff>
    </xdr:to>
    <xdr:pic>
      <xdr:nvPicPr>
        <xdr:cNvPr id="284" name="Picture 283">
          <a:extLst>
            <a:ext uri="{FF2B5EF4-FFF2-40B4-BE49-F238E27FC236}">
              <a16:creationId xmlns:a16="http://schemas.microsoft.com/office/drawing/2014/main" id="{0FC83853-B1A2-4C3A-948C-55E45DC8F4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815353" y="43803793"/>
          <a:ext cx="6004800" cy="4564800"/>
        </a:xfrm>
        <a:prstGeom prst="rect">
          <a:avLst/>
        </a:prstGeom>
      </xdr:spPr>
    </xdr:pic>
    <xdr:clientData/>
  </xdr:twoCellAnchor>
  <xdr:twoCellAnchor>
    <xdr:from>
      <xdr:col>7</xdr:col>
      <xdr:colOff>571499</xdr:colOff>
      <xdr:row>325</xdr:row>
      <xdr:rowOff>78441</xdr:rowOff>
    </xdr:from>
    <xdr:to>
      <xdr:col>10</xdr:col>
      <xdr:colOff>421341</xdr:colOff>
      <xdr:row>328</xdr:row>
      <xdr:rowOff>141195</xdr:rowOff>
    </xdr:to>
    <xdr:sp macro="" textlink="">
      <xdr:nvSpPr>
        <xdr:cNvPr id="285" name="TextBox 284">
          <a:extLst>
            <a:ext uri="{FF2B5EF4-FFF2-40B4-BE49-F238E27FC236}">
              <a16:creationId xmlns:a16="http://schemas.microsoft.com/office/drawing/2014/main" id="{975FD0CA-023C-44FF-853B-6E7FB0088B92}"/>
            </a:ext>
          </a:extLst>
        </xdr:cNvPr>
        <xdr:cNvSpPr txBox="1"/>
      </xdr:nvSpPr>
      <xdr:spPr>
        <a:xfrm>
          <a:off x="2991970" y="44061529"/>
          <a:ext cx="1665195" cy="63425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 baseline="0"/>
            <a:t>Different companies that can approve governance review</a:t>
          </a:r>
        </a:p>
      </xdr:txBody>
    </xdr:sp>
    <xdr:clientData/>
  </xdr:twoCellAnchor>
  <xdr:twoCellAnchor>
    <xdr:from>
      <xdr:col>9</xdr:col>
      <xdr:colOff>193862</xdr:colOff>
      <xdr:row>328</xdr:row>
      <xdr:rowOff>141195</xdr:rowOff>
    </xdr:from>
    <xdr:to>
      <xdr:col>12</xdr:col>
      <xdr:colOff>56029</xdr:colOff>
      <xdr:row>331</xdr:row>
      <xdr:rowOff>33618</xdr:rowOff>
    </xdr:to>
    <xdr:cxnSp macro="">
      <xdr:nvCxnSpPr>
        <xdr:cNvPr id="286" name="Straight Arrow Connector 285">
          <a:extLst>
            <a:ext uri="{FF2B5EF4-FFF2-40B4-BE49-F238E27FC236}">
              <a16:creationId xmlns:a16="http://schemas.microsoft.com/office/drawing/2014/main" id="{CFF8E0F6-3BE1-41EA-A111-8692B5AF3D64}"/>
            </a:ext>
          </a:extLst>
        </xdr:cNvPr>
        <xdr:cNvCxnSpPr>
          <a:stCxn id="285" idx="2"/>
        </xdr:cNvCxnSpPr>
      </xdr:nvCxnSpPr>
      <xdr:spPr>
        <a:xfrm>
          <a:off x="3824568" y="44695783"/>
          <a:ext cx="1677520" cy="463923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212912</xdr:colOff>
      <xdr:row>328</xdr:row>
      <xdr:rowOff>156883</xdr:rowOff>
    </xdr:from>
    <xdr:to>
      <xdr:col>10</xdr:col>
      <xdr:colOff>537882</xdr:colOff>
      <xdr:row>331</xdr:row>
      <xdr:rowOff>44824</xdr:rowOff>
    </xdr:to>
    <xdr:cxnSp macro="">
      <xdr:nvCxnSpPr>
        <xdr:cNvPr id="289" name="Straight Arrow Connector 288">
          <a:extLst>
            <a:ext uri="{FF2B5EF4-FFF2-40B4-BE49-F238E27FC236}">
              <a16:creationId xmlns:a16="http://schemas.microsoft.com/office/drawing/2014/main" id="{014B72E4-7FA2-49B1-A892-A581C9EA012D}"/>
            </a:ext>
          </a:extLst>
        </xdr:cNvPr>
        <xdr:cNvCxnSpPr/>
      </xdr:nvCxnSpPr>
      <xdr:spPr>
        <a:xfrm>
          <a:off x="3843618" y="44711471"/>
          <a:ext cx="930088" cy="459441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193862</xdr:colOff>
      <xdr:row>328</xdr:row>
      <xdr:rowOff>141195</xdr:rowOff>
    </xdr:from>
    <xdr:to>
      <xdr:col>9</xdr:col>
      <xdr:colOff>437029</xdr:colOff>
      <xdr:row>331</xdr:row>
      <xdr:rowOff>33618</xdr:rowOff>
    </xdr:to>
    <xdr:cxnSp macro="">
      <xdr:nvCxnSpPr>
        <xdr:cNvPr id="293" name="Straight Arrow Connector 292">
          <a:extLst>
            <a:ext uri="{FF2B5EF4-FFF2-40B4-BE49-F238E27FC236}">
              <a16:creationId xmlns:a16="http://schemas.microsoft.com/office/drawing/2014/main" id="{EAC0D544-17FC-427F-A6E2-8CD24A947AFB}"/>
            </a:ext>
          </a:extLst>
        </xdr:cNvPr>
        <xdr:cNvCxnSpPr>
          <a:stCxn id="285" idx="2"/>
        </xdr:cNvCxnSpPr>
      </xdr:nvCxnSpPr>
      <xdr:spPr>
        <a:xfrm>
          <a:off x="3824568" y="44695783"/>
          <a:ext cx="243167" cy="463923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414618</xdr:colOff>
      <xdr:row>328</xdr:row>
      <xdr:rowOff>141195</xdr:rowOff>
    </xdr:from>
    <xdr:to>
      <xdr:col>9</xdr:col>
      <xdr:colOff>193862</xdr:colOff>
      <xdr:row>331</xdr:row>
      <xdr:rowOff>11206</xdr:rowOff>
    </xdr:to>
    <xdr:cxnSp macro="">
      <xdr:nvCxnSpPr>
        <xdr:cNvPr id="298" name="Straight Arrow Connector 297">
          <a:extLst>
            <a:ext uri="{FF2B5EF4-FFF2-40B4-BE49-F238E27FC236}">
              <a16:creationId xmlns:a16="http://schemas.microsoft.com/office/drawing/2014/main" id="{58C86B74-9580-47F8-AFF8-88F9F5FC7306}"/>
            </a:ext>
          </a:extLst>
        </xdr:cNvPr>
        <xdr:cNvCxnSpPr>
          <a:stCxn id="285" idx="2"/>
        </xdr:cNvCxnSpPr>
      </xdr:nvCxnSpPr>
      <xdr:spPr>
        <a:xfrm flipH="1">
          <a:off x="3440206" y="44695783"/>
          <a:ext cx="384362" cy="441511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470648</xdr:colOff>
      <xdr:row>328</xdr:row>
      <xdr:rowOff>156883</xdr:rowOff>
    </xdr:from>
    <xdr:to>
      <xdr:col>9</xdr:col>
      <xdr:colOff>201706</xdr:colOff>
      <xdr:row>331</xdr:row>
      <xdr:rowOff>11206</xdr:rowOff>
    </xdr:to>
    <xdr:cxnSp macro="">
      <xdr:nvCxnSpPr>
        <xdr:cNvPr id="301" name="Straight Arrow Connector 300">
          <a:extLst>
            <a:ext uri="{FF2B5EF4-FFF2-40B4-BE49-F238E27FC236}">
              <a16:creationId xmlns:a16="http://schemas.microsoft.com/office/drawing/2014/main" id="{5E513D1B-FC68-4095-9E72-A0A4D2EAC0E5}"/>
            </a:ext>
          </a:extLst>
        </xdr:cNvPr>
        <xdr:cNvCxnSpPr/>
      </xdr:nvCxnSpPr>
      <xdr:spPr>
        <a:xfrm flipH="1">
          <a:off x="2891119" y="44711471"/>
          <a:ext cx="941293" cy="425823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56030</xdr:colOff>
      <xdr:row>328</xdr:row>
      <xdr:rowOff>141195</xdr:rowOff>
    </xdr:from>
    <xdr:to>
      <xdr:col>9</xdr:col>
      <xdr:colOff>193862</xdr:colOff>
      <xdr:row>331</xdr:row>
      <xdr:rowOff>44824</xdr:rowOff>
    </xdr:to>
    <xdr:cxnSp macro="">
      <xdr:nvCxnSpPr>
        <xdr:cNvPr id="304" name="Straight Arrow Connector 303">
          <a:extLst>
            <a:ext uri="{FF2B5EF4-FFF2-40B4-BE49-F238E27FC236}">
              <a16:creationId xmlns:a16="http://schemas.microsoft.com/office/drawing/2014/main" id="{FEA7693F-FDBB-4117-AF78-7E64ECF6394B}"/>
            </a:ext>
          </a:extLst>
        </xdr:cNvPr>
        <xdr:cNvCxnSpPr>
          <a:stCxn id="285" idx="2"/>
        </xdr:cNvCxnSpPr>
      </xdr:nvCxnSpPr>
      <xdr:spPr>
        <a:xfrm flipH="1">
          <a:off x="2476501" y="44695783"/>
          <a:ext cx="1348067" cy="475129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432549</xdr:colOff>
      <xdr:row>328</xdr:row>
      <xdr:rowOff>141195</xdr:rowOff>
    </xdr:from>
    <xdr:to>
      <xdr:col>9</xdr:col>
      <xdr:colOff>193862</xdr:colOff>
      <xdr:row>330</xdr:row>
      <xdr:rowOff>163607</xdr:rowOff>
    </xdr:to>
    <xdr:cxnSp macro="">
      <xdr:nvCxnSpPr>
        <xdr:cNvPr id="307" name="Straight Arrow Connector 306">
          <a:extLst>
            <a:ext uri="{FF2B5EF4-FFF2-40B4-BE49-F238E27FC236}">
              <a16:creationId xmlns:a16="http://schemas.microsoft.com/office/drawing/2014/main" id="{05519084-C2BA-419C-A4BE-5B1D4CDD0B0F}"/>
            </a:ext>
          </a:extLst>
        </xdr:cNvPr>
        <xdr:cNvCxnSpPr>
          <a:stCxn id="285" idx="2"/>
        </xdr:cNvCxnSpPr>
      </xdr:nvCxnSpPr>
      <xdr:spPr>
        <a:xfrm flipH="1">
          <a:off x="2247902" y="44695783"/>
          <a:ext cx="1576666" cy="403412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340658</xdr:colOff>
      <xdr:row>333</xdr:row>
      <xdr:rowOff>11205</xdr:rowOff>
    </xdr:from>
    <xdr:to>
      <xdr:col>8</xdr:col>
      <xdr:colOff>358588</xdr:colOff>
      <xdr:row>333</xdr:row>
      <xdr:rowOff>33618</xdr:rowOff>
    </xdr:to>
    <xdr:cxnSp macro="">
      <xdr:nvCxnSpPr>
        <xdr:cNvPr id="309" name="Straight Arrow Connector 308">
          <a:extLst>
            <a:ext uri="{FF2B5EF4-FFF2-40B4-BE49-F238E27FC236}">
              <a16:creationId xmlns:a16="http://schemas.microsoft.com/office/drawing/2014/main" id="{FAA1787F-B5A7-42C3-B7C9-C6223331B40E}"/>
            </a:ext>
          </a:extLst>
        </xdr:cNvPr>
        <xdr:cNvCxnSpPr>
          <a:stCxn id="313" idx="3"/>
        </xdr:cNvCxnSpPr>
      </xdr:nvCxnSpPr>
      <xdr:spPr>
        <a:xfrm>
          <a:off x="1550893" y="45518293"/>
          <a:ext cx="1833283" cy="22413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168088</xdr:colOff>
      <xdr:row>331</xdr:row>
      <xdr:rowOff>82922</xdr:rowOff>
    </xdr:from>
    <xdr:to>
      <xdr:col>5</xdr:col>
      <xdr:colOff>340658</xdr:colOff>
      <xdr:row>334</xdr:row>
      <xdr:rowOff>129988</xdr:rowOff>
    </xdr:to>
    <xdr:sp macro="" textlink="">
      <xdr:nvSpPr>
        <xdr:cNvPr id="313" name="TextBox 312">
          <a:extLst>
            <a:ext uri="{FF2B5EF4-FFF2-40B4-BE49-F238E27FC236}">
              <a16:creationId xmlns:a16="http://schemas.microsoft.com/office/drawing/2014/main" id="{BB491CEA-5A1A-49E4-BCAE-5263D7AE485E}"/>
            </a:ext>
          </a:extLst>
        </xdr:cNvPr>
        <xdr:cNvSpPr txBox="1"/>
      </xdr:nvSpPr>
      <xdr:spPr>
        <a:xfrm>
          <a:off x="168088" y="45209010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governance review  is submitted </a:t>
          </a:r>
        </a:p>
      </xdr:txBody>
    </xdr:sp>
    <xdr:clientData/>
  </xdr:twoCellAnchor>
  <xdr:twoCellAnchor>
    <xdr:from>
      <xdr:col>3</xdr:col>
      <xdr:colOff>107577</xdr:colOff>
      <xdr:row>334</xdr:row>
      <xdr:rowOff>190499</xdr:rowOff>
    </xdr:from>
    <xdr:to>
      <xdr:col>5</xdr:col>
      <xdr:colOff>280147</xdr:colOff>
      <xdr:row>338</xdr:row>
      <xdr:rowOff>47065</xdr:rowOff>
    </xdr:to>
    <xdr:sp macro="" textlink="">
      <xdr:nvSpPr>
        <xdr:cNvPr id="316" name="TextBox 315">
          <a:extLst>
            <a:ext uri="{FF2B5EF4-FFF2-40B4-BE49-F238E27FC236}">
              <a16:creationId xmlns:a16="http://schemas.microsoft.com/office/drawing/2014/main" id="{EAC49938-FF26-40E9-AC25-D48A2288953E}"/>
            </a:ext>
          </a:extLst>
        </xdr:cNvPr>
        <xdr:cNvSpPr txBox="1"/>
      </xdr:nvSpPr>
      <xdr:spPr>
        <a:xfrm>
          <a:off x="107577" y="45888087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governance review  is responded</a:t>
          </a:r>
        </a:p>
      </xdr:txBody>
    </xdr:sp>
    <xdr:clientData/>
  </xdr:twoCellAnchor>
  <xdr:twoCellAnchor>
    <xdr:from>
      <xdr:col>5</xdr:col>
      <xdr:colOff>280147</xdr:colOff>
      <xdr:row>334</xdr:row>
      <xdr:rowOff>145677</xdr:rowOff>
    </xdr:from>
    <xdr:to>
      <xdr:col>8</xdr:col>
      <xdr:colOff>313765</xdr:colOff>
      <xdr:row>336</xdr:row>
      <xdr:rowOff>118782</xdr:rowOff>
    </xdr:to>
    <xdr:cxnSp macro="">
      <xdr:nvCxnSpPr>
        <xdr:cNvPr id="317" name="Straight Arrow Connector 316">
          <a:extLst>
            <a:ext uri="{FF2B5EF4-FFF2-40B4-BE49-F238E27FC236}">
              <a16:creationId xmlns:a16="http://schemas.microsoft.com/office/drawing/2014/main" id="{ED4D22D7-D3A1-467D-9ED9-62AA41126BF7}"/>
            </a:ext>
          </a:extLst>
        </xdr:cNvPr>
        <xdr:cNvCxnSpPr>
          <a:stCxn id="316" idx="3"/>
        </xdr:cNvCxnSpPr>
      </xdr:nvCxnSpPr>
      <xdr:spPr>
        <a:xfrm flipV="1">
          <a:off x="1490382" y="45843265"/>
          <a:ext cx="1848971" cy="354105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354106</xdr:colOff>
      <xdr:row>336</xdr:row>
      <xdr:rowOff>156884</xdr:rowOff>
    </xdr:from>
    <xdr:to>
      <xdr:col>8</xdr:col>
      <xdr:colOff>392206</xdr:colOff>
      <xdr:row>340</xdr:row>
      <xdr:rowOff>69477</xdr:rowOff>
    </xdr:to>
    <xdr:cxnSp macro="">
      <xdr:nvCxnSpPr>
        <xdr:cNvPr id="321" name="Straight Arrow Connector 320">
          <a:extLst>
            <a:ext uri="{FF2B5EF4-FFF2-40B4-BE49-F238E27FC236}">
              <a16:creationId xmlns:a16="http://schemas.microsoft.com/office/drawing/2014/main" id="{A00376EA-3EFF-4FFC-AEF8-3483F5767983}"/>
            </a:ext>
          </a:extLst>
        </xdr:cNvPr>
        <xdr:cNvCxnSpPr>
          <a:stCxn id="324" idx="3"/>
        </xdr:cNvCxnSpPr>
      </xdr:nvCxnSpPr>
      <xdr:spPr>
        <a:xfrm flipV="1">
          <a:off x="1564341" y="46235472"/>
          <a:ext cx="1853453" cy="674593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181536</xdr:colOff>
      <xdr:row>338</xdr:row>
      <xdr:rowOff>141194</xdr:rowOff>
    </xdr:from>
    <xdr:to>
      <xdr:col>5</xdr:col>
      <xdr:colOff>354106</xdr:colOff>
      <xdr:row>341</xdr:row>
      <xdr:rowOff>188260</xdr:rowOff>
    </xdr:to>
    <xdr:sp macro="" textlink="">
      <xdr:nvSpPr>
        <xdr:cNvPr id="324" name="TextBox 323">
          <a:extLst>
            <a:ext uri="{FF2B5EF4-FFF2-40B4-BE49-F238E27FC236}">
              <a16:creationId xmlns:a16="http://schemas.microsoft.com/office/drawing/2014/main" id="{BFDCCD5F-84F2-41D3-9D9F-72714007CF76}"/>
            </a:ext>
          </a:extLst>
        </xdr:cNvPr>
        <xdr:cNvSpPr txBox="1"/>
      </xdr:nvSpPr>
      <xdr:spPr>
        <a:xfrm>
          <a:off x="181536" y="46600782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governance review  is approved</a:t>
          </a:r>
        </a:p>
      </xdr:txBody>
    </xdr:sp>
    <xdr:clientData/>
  </xdr:twoCellAnchor>
  <xdr:twoCellAnchor editAs="oneCell">
    <xdr:from>
      <xdr:col>6</xdr:col>
      <xdr:colOff>0</xdr:colOff>
      <xdr:row>351</xdr:row>
      <xdr:rowOff>0</xdr:rowOff>
    </xdr:from>
    <xdr:to>
      <xdr:col>15</xdr:col>
      <xdr:colOff>554932</xdr:colOff>
      <xdr:row>375</xdr:row>
      <xdr:rowOff>15437</xdr:rowOff>
    </xdr:to>
    <xdr:pic>
      <xdr:nvPicPr>
        <xdr:cNvPr id="326" name="Picture 325">
          <a:extLst>
            <a:ext uri="{FF2B5EF4-FFF2-40B4-BE49-F238E27FC236}">
              <a16:creationId xmlns:a16="http://schemas.microsoft.com/office/drawing/2014/main" id="{54FEED73-3D8C-4B91-9C58-E5C30B68CE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676650" y="62055375"/>
          <a:ext cx="6041332" cy="4358837"/>
        </a:xfrm>
        <a:prstGeom prst="rect">
          <a:avLst/>
        </a:prstGeom>
      </xdr:spPr>
    </xdr:pic>
    <xdr:clientData/>
  </xdr:twoCellAnchor>
  <xdr:twoCellAnchor>
    <xdr:from>
      <xdr:col>5</xdr:col>
      <xdr:colOff>248771</xdr:colOff>
      <xdr:row>364</xdr:row>
      <xdr:rowOff>22413</xdr:rowOff>
    </xdr:from>
    <xdr:to>
      <xdr:col>8</xdr:col>
      <xdr:colOff>381000</xdr:colOff>
      <xdr:row>365</xdr:row>
      <xdr:rowOff>121024</xdr:rowOff>
    </xdr:to>
    <xdr:cxnSp macro="">
      <xdr:nvCxnSpPr>
        <xdr:cNvPr id="327" name="Straight Arrow Connector 326">
          <a:extLst>
            <a:ext uri="{FF2B5EF4-FFF2-40B4-BE49-F238E27FC236}">
              <a16:creationId xmlns:a16="http://schemas.microsoft.com/office/drawing/2014/main" id="{C653699F-613A-4B71-A88E-51CB4377FCA5}"/>
            </a:ext>
          </a:extLst>
        </xdr:cNvPr>
        <xdr:cNvCxnSpPr>
          <a:stCxn id="335" idx="3"/>
        </xdr:cNvCxnSpPr>
      </xdr:nvCxnSpPr>
      <xdr:spPr>
        <a:xfrm flipV="1">
          <a:off x="1459006" y="51435001"/>
          <a:ext cx="1947582" cy="289111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259976</xdr:colOff>
      <xdr:row>362</xdr:row>
      <xdr:rowOff>42583</xdr:rowOff>
    </xdr:from>
    <xdr:to>
      <xdr:col>8</xdr:col>
      <xdr:colOff>369794</xdr:colOff>
      <xdr:row>362</xdr:row>
      <xdr:rowOff>89647</xdr:rowOff>
    </xdr:to>
    <xdr:cxnSp macro="">
      <xdr:nvCxnSpPr>
        <xdr:cNvPr id="330" name="Straight Arrow Connector 329">
          <a:extLst>
            <a:ext uri="{FF2B5EF4-FFF2-40B4-BE49-F238E27FC236}">
              <a16:creationId xmlns:a16="http://schemas.microsoft.com/office/drawing/2014/main" id="{9A8780B5-FE9A-440B-9DF7-285B642E8B25}"/>
            </a:ext>
          </a:extLst>
        </xdr:cNvPr>
        <xdr:cNvCxnSpPr>
          <a:stCxn id="338" idx="3"/>
        </xdr:cNvCxnSpPr>
      </xdr:nvCxnSpPr>
      <xdr:spPr>
        <a:xfrm>
          <a:off x="1470211" y="51074171"/>
          <a:ext cx="1925171" cy="47064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76201</xdr:colOff>
      <xdr:row>364</xdr:row>
      <xdr:rowOff>2241</xdr:rowOff>
    </xdr:from>
    <xdr:to>
      <xdr:col>5</xdr:col>
      <xdr:colOff>248771</xdr:colOff>
      <xdr:row>367</xdr:row>
      <xdr:rowOff>49307</xdr:rowOff>
    </xdr:to>
    <xdr:sp macro="" textlink="">
      <xdr:nvSpPr>
        <xdr:cNvPr id="335" name="TextBox 334">
          <a:extLst>
            <a:ext uri="{FF2B5EF4-FFF2-40B4-BE49-F238E27FC236}">
              <a16:creationId xmlns:a16="http://schemas.microsoft.com/office/drawing/2014/main" id="{6743D00B-E9F6-4E58-9404-F74199EECB4C}"/>
            </a:ext>
          </a:extLst>
        </xdr:cNvPr>
        <xdr:cNvSpPr txBox="1"/>
      </xdr:nvSpPr>
      <xdr:spPr>
        <a:xfrm>
          <a:off x="76201" y="51414829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date approved</a:t>
          </a:r>
        </a:p>
      </xdr:txBody>
    </xdr:sp>
    <xdr:clientData/>
  </xdr:twoCellAnchor>
  <xdr:twoCellAnchor>
    <xdr:from>
      <xdr:col>3</xdr:col>
      <xdr:colOff>87406</xdr:colOff>
      <xdr:row>360</xdr:row>
      <xdr:rowOff>114300</xdr:rowOff>
    </xdr:from>
    <xdr:to>
      <xdr:col>5</xdr:col>
      <xdr:colOff>259976</xdr:colOff>
      <xdr:row>363</xdr:row>
      <xdr:rowOff>161366</xdr:rowOff>
    </xdr:to>
    <xdr:sp macro="" textlink="">
      <xdr:nvSpPr>
        <xdr:cNvPr id="338" name="TextBox 337">
          <a:extLst>
            <a:ext uri="{FF2B5EF4-FFF2-40B4-BE49-F238E27FC236}">
              <a16:creationId xmlns:a16="http://schemas.microsoft.com/office/drawing/2014/main" id="{314CFA28-D551-42D3-8B02-7C9341CF249A}"/>
            </a:ext>
          </a:extLst>
        </xdr:cNvPr>
        <xdr:cNvSpPr txBox="1"/>
      </xdr:nvSpPr>
      <xdr:spPr>
        <a:xfrm>
          <a:off x="87406" y="50764888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review is submitted to finance</a:t>
          </a:r>
        </a:p>
      </xdr:txBody>
    </xdr:sp>
    <xdr:clientData/>
  </xdr:twoCellAnchor>
  <xdr:twoCellAnchor>
    <xdr:from>
      <xdr:col>3</xdr:col>
      <xdr:colOff>87406</xdr:colOff>
      <xdr:row>357</xdr:row>
      <xdr:rowOff>2242</xdr:rowOff>
    </xdr:from>
    <xdr:to>
      <xdr:col>5</xdr:col>
      <xdr:colOff>259976</xdr:colOff>
      <xdr:row>360</xdr:row>
      <xdr:rowOff>49308</xdr:rowOff>
    </xdr:to>
    <xdr:sp macro="" textlink="">
      <xdr:nvSpPr>
        <xdr:cNvPr id="341" name="TextBox 340">
          <a:extLst>
            <a:ext uri="{FF2B5EF4-FFF2-40B4-BE49-F238E27FC236}">
              <a16:creationId xmlns:a16="http://schemas.microsoft.com/office/drawing/2014/main" id="{177AB9CA-50B0-4169-B70C-335EC3F7CF75}"/>
            </a:ext>
          </a:extLst>
        </xdr:cNvPr>
        <xdr:cNvSpPr txBox="1"/>
      </xdr:nvSpPr>
      <xdr:spPr>
        <a:xfrm>
          <a:off x="87406" y="50081330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Budget Review is finalised</a:t>
          </a:r>
        </a:p>
      </xdr:txBody>
    </xdr:sp>
    <xdr:clientData/>
  </xdr:twoCellAnchor>
  <xdr:twoCellAnchor>
    <xdr:from>
      <xdr:col>5</xdr:col>
      <xdr:colOff>259976</xdr:colOff>
      <xdr:row>358</xdr:row>
      <xdr:rowOff>121025</xdr:rowOff>
    </xdr:from>
    <xdr:to>
      <xdr:col>8</xdr:col>
      <xdr:colOff>369794</xdr:colOff>
      <xdr:row>360</xdr:row>
      <xdr:rowOff>0</xdr:rowOff>
    </xdr:to>
    <xdr:cxnSp macro="">
      <xdr:nvCxnSpPr>
        <xdr:cNvPr id="342" name="Straight Arrow Connector 341">
          <a:extLst>
            <a:ext uri="{FF2B5EF4-FFF2-40B4-BE49-F238E27FC236}">
              <a16:creationId xmlns:a16="http://schemas.microsoft.com/office/drawing/2014/main" id="{8E0B4563-FB20-408B-A9E0-3702B7730A79}"/>
            </a:ext>
          </a:extLst>
        </xdr:cNvPr>
        <xdr:cNvCxnSpPr>
          <a:stCxn id="341" idx="3"/>
        </xdr:cNvCxnSpPr>
      </xdr:nvCxnSpPr>
      <xdr:spPr>
        <a:xfrm>
          <a:off x="1470211" y="50390613"/>
          <a:ext cx="1925171" cy="259975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5</xdr:col>
      <xdr:colOff>581025</xdr:colOff>
      <xdr:row>381</xdr:row>
      <xdr:rowOff>9525</xdr:rowOff>
    </xdr:from>
    <xdr:to>
      <xdr:col>15</xdr:col>
      <xdr:colOff>513021</xdr:colOff>
      <xdr:row>405</xdr:row>
      <xdr:rowOff>21152</xdr:rowOff>
    </xdr:to>
    <xdr:pic>
      <xdr:nvPicPr>
        <xdr:cNvPr id="345" name="Picture 344">
          <a:extLst>
            <a:ext uri="{FF2B5EF4-FFF2-40B4-BE49-F238E27FC236}">
              <a16:creationId xmlns:a16="http://schemas.microsoft.com/office/drawing/2014/main" id="{E43712B6-D21A-4DEF-9984-2CDB2BE79C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3648075" y="67494150"/>
          <a:ext cx="6037521" cy="4362647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408</xdr:row>
      <xdr:rowOff>0</xdr:rowOff>
    </xdr:from>
    <xdr:to>
      <xdr:col>15</xdr:col>
      <xdr:colOff>551122</xdr:colOff>
      <xdr:row>432</xdr:row>
      <xdr:rowOff>19247</xdr:rowOff>
    </xdr:to>
    <xdr:pic>
      <xdr:nvPicPr>
        <xdr:cNvPr id="346" name="Picture 345">
          <a:extLst>
            <a:ext uri="{FF2B5EF4-FFF2-40B4-BE49-F238E27FC236}">
              <a16:creationId xmlns:a16="http://schemas.microsoft.com/office/drawing/2014/main" id="{24E91BC7-9DAE-4755-911A-B1CEA6BFDC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815353" y="53889088"/>
          <a:ext cx="6004800" cy="4564800"/>
        </a:xfrm>
        <a:prstGeom prst="rect">
          <a:avLst/>
        </a:prstGeom>
      </xdr:spPr>
    </xdr:pic>
    <xdr:clientData/>
  </xdr:twoCellAnchor>
  <xdr:twoCellAnchor>
    <xdr:from>
      <xdr:col>7</xdr:col>
      <xdr:colOff>488016</xdr:colOff>
      <xdr:row>380</xdr:row>
      <xdr:rowOff>72950</xdr:rowOff>
    </xdr:from>
    <xdr:to>
      <xdr:col>8</xdr:col>
      <xdr:colOff>581025</xdr:colOff>
      <xdr:row>389</xdr:row>
      <xdr:rowOff>177613</xdr:rowOff>
    </xdr:to>
    <xdr:cxnSp macro="">
      <xdr:nvCxnSpPr>
        <xdr:cNvPr id="347" name="Straight Arrow Connector 346">
          <a:extLst>
            <a:ext uri="{FF2B5EF4-FFF2-40B4-BE49-F238E27FC236}">
              <a16:creationId xmlns:a16="http://schemas.microsoft.com/office/drawing/2014/main" id="{395C907E-13E5-4775-AB2C-78DC3AFCF3B0}"/>
            </a:ext>
          </a:extLst>
        </xdr:cNvPr>
        <xdr:cNvCxnSpPr/>
      </xdr:nvCxnSpPr>
      <xdr:spPr>
        <a:xfrm>
          <a:off x="4774266" y="67376600"/>
          <a:ext cx="702609" cy="1733438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441064</xdr:colOff>
      <xdr:row>376</xdr:row>
      <xdr:rowOff>87406</xdr:rowOff>
    </xdr:from>
    <xdr:to>
      <xdr:col>8</xdr:col>
      <xdr:colOff>606686</xdr:colOff>
      <xdr:row>380</xdr:row>
      <xdr:rowOff>69364</xdr:rowOff>
    </xdr:to>
    <xdr:sp macro="" textlink="">
      <xdr:nvSpPr>
        <xdr:cNvPr id="350" name="TextBox 349">
          <a:extLst>
            <a:ext uri="{FF2B5EF4-FFF2-40B4-BE49-F238E27FC236}">
              <a16:creationId xmlns:a16="http://schemas.microsoft.com/office/drawing/2014/main" id="{00694D83-50BC-4C52-96E0-23B6CFAD7A46}"/>
            </a:ext>
          </a:extLst>
        </xdr:cNvPr>
        <xdr:cNvSpPr txBox="1"/>
      </xdr:nvSpPr>
      <xdr:spPr>
        <a:xfrm>
          <a:off x="4117714" y="66667156"/>
          <a:ext cx="1384822" cy="70585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TKI  approve the budget review</a:t>
          </a:r>
        </a:p>
      </xdr:txBody>
    </xdr:sp>
    <xdr:clientData/>
  </xdr:twoCellAnchor>
  <xdr:twoCellAnchor>
    <xdr:from>
      <xdr:col>3</xdr:col>
      <xdr:colOff>340661</xdr:colOff>
      <xdr:row>419</xdr:row>
      <xdr:rowOff>31376</xdr:rowOff>
    </xdr:from>
    <xdr:to>
      <xdr:col>5</xdr:col>
      <xdr:colOff>513231</xdr:colOff>
      <xdr:row>422</xdr:row>
      <xdr:rowOff>78442</xdr:rowOff>
    </xdr:to>
    <xdr:sp macro="" textlink="">
      <xdr:nvSpPr>
        <xdr:cNvPr id="353" name="TextBox 352">
          <a:extLst>
            <a:ext uri="{FF2B5EF4-FFF2-40B4-BE49-F238E27FC236}">
              <a16:creationId xmlns:a16="http://schemas.microsoft.com/office/drawing/2014/main" id="{4DC46123-EA06-48FC-AF33-C10A45BBBE4D}"/>
            </a:ext>
          </a:extLst>
        </xdr:cNvPr>
        <xdr:cNvSpPr txBox="1"/>
      </xdr:nvSpPr>
      <xdr:spPr>
        <a:xfrm>
          <a:off x="340661" y="56027170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date PO is finalised</a:t>
          </a:r>
        </a:p>
      </xdr:txBody>
    </xdr:sp>
    <xdr:clientData/>
  </xdr:twoCellAnchor>
  <xdr:twoCellAnchor>
    <xdr:from>
      <xdr:col>3</xdr:col>
      <xdr:colOff>369795</xdr:colOff>
      <xdr:row>414</xdr:row>
      <xdr:rowOff>26892</xdr:rowOff>
    </xdr:from>
    <xdr:to>
      <xdr:col>5</xdr:col>
      <xdr:colOff>542365</xdr:colOff>
      <xdr:row>417</xdr:row>
      <xdr:rowOff>179293</xdr:rowOff>
    </xdr:to>
    <xdr:sp macro="" textlink="">
      <xdr:nvSpPr>
        <xdr:cNvPr id="354" name="TextBox 353">
          <a:extLst>
            <a:ext uri="{FF2B5EF4-FFF2-40B4-BE49-F238E27FC236}">
              <a16:creationId xmlns:a16="http://schemas.microsoft.com/office/drawing/2014/main" id="{2C63ACBB-BF26-4BDC-9A0A-B9B94BFB2D22}"/>
            </a:ext>
          </a:extLst>
        </xdr:cNvPr>
        <xdr:cNvSpPr txBox="1"/>
      </xdr:nvSpPr>
      <xdr:spPr>
        <a:xfrm>
          <a:off x="369795" y="55058980"/>
          <a:ext cx="1382805" cy="72390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quote is received from pharmacy</a:t>
          </a:r>
        </a:p>
      </xdr:txBody>
    </xdr:sp>
    <xdr:clientData/>
  </xdr:twoCellAnchor>
  <xdr:twoCellAnchor>
    <xdr:from>
      <xdr:col>5</xdr:col>
      <xdr:colOff>542365</xdr:colOff>
      <xdr:row>416</xdr:row>
      <xdr:rowOff>7843</xdr:rowOff>
    </xdr:from>
    <xdr:to>
      <xdr:col>8</xdr:col>
      <xdr:colOff>381000</xdr:colOff>
      <xdr:row>416</xdr:row>
      <xdr:rowOff>168088</xdr:rowOff>
    </xdr:to>
    <xdr:cxnSp macro="">
      <xdr:nvCxnSpPr>
        <xdr:cNvPr id="355" name="Straight Arrow Connector 354">
          <a:extLst>
            <a:ext uri="{FF2B5EF4-FFF2-40B4-BE49-F238E27FC236}">
              <a16:creationId xmlns:a16="http://schemas.microsoft.com/office/drawing/2014/main" id="{F512A823-7D70-4018-B0F3-0D08CA7E0776}"/>
            </a:ext>
          </a:extLst>
        </xdr:cNvPr>
        <xdr:cNvCxnSpPr>
          <a:stCxn id="354" idx="3"/>
        </xdr:cNvCxnSpPr>
      </xdr:nvCxnSpPr>
      <xdr:spPr>
        <a:xfrm>
          <a:off x="1752600" y="55432137"/>
          <a:ext cx="1653988" cy="160245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513231</xdr:colOff>
      <xdr:row>419</xdr:row>
      <xdr:rowOff>11205</xdr:rowOff>
    </xdr:from>
    <xdr:to>
      <xdr:col>8</xdr:col>
      <xdr:colOff>358589</xdr:colOff>
      <xdr:row>420</xdr:row>
      <xdr:rowOff>150159</xdr:rowOff>
    </xdr:to>
    <xdr:cxnSp macro="">
      <xdr:nvCxnSpPr>
        <xdr:cNvPr id="357" name="Straight Arrow Connector 356">
          <a:extLst>
            <a:ext uri="{FF2B5EF4-FFF2-40B4-BE49-F238E27FC236}">
              <a16:creationId xmlns:a16="http://schemas.microsoft.com/office/drawing/2014/main" id="{B74BAF91-3DD2-42E7-A149-D92ABADF8498}"/>
            </a:ext>
          </a:extLst>
        </xdr:cNvPr>
        <xdr:cNvCxnSpPr>
          <a:stCxn id="353" idx="3"/>
        </xdr:cNvCxnSpPr>
      </xdr:nvCxnSpPr>
      <xdr:spPr>
        <a:xfrm flipV="1">
          <a:off x="1723466" y="56006999"/>
          <a:ext cx="1660711" cy="329454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</xdr:col>
      <xdr:colOff>11206</xdr:colOff>
      <xdr:row>435</xdr:row>
      <xdr:rowOff>11206</xdr:rowOff>
    </xdr:from>
    <xdr:to>
      <xdr:col>15</xdr:col>
      <xdr:colOff>569948</xdr:colOff>
      <xdr:row>457</xdr:row>
      <xdr:rowOff>97750</xdr:rowOff>
    </xdr:to>
    <xdr:pic>
      <xdr:nvPicPr>
        <xdr:cNvPr id="370" name="Picture 369">
          <a:extLst>
            <a:ext uri="{FF2B5EF4-FFF2-40B4-BE49-F238E27FC236}">
              <a16:creationId xmlns:a16="http://schemas.microsoft.com/office/drawing/2014/main" id="{B0BE0D2B-98F5-45FB-A88F-D6FF9FD744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826559" y="59066206"/>
          <a:ext cx="6004800" cy="4269923"/>
        </a:xfrm>
        <a:prstGeom prst="rect">
          <a:avLst/>
        </a:prstGeom>
      </xdr:spPr>
    </xdr:pic>
    <xdr:clientData/>
  </xdr:twoCellAnchor>
  <xdr:twoCellAnchor>
    <xdr:from>
      <xdr:col>3</xdr:col>
      <xdr:colOff>318248</xdr:colOff>
      <xdr:row>439</xdr:row>
      <xdr:rowOff>143434</xdr:rowOff>
    </xdr:from>
    <xdr:to>
      <xdr:col>5</xdr:col>
      <xdr:colOff>490818</xdr:colOff>
      <xdr:row>443</xdr:row>
      <xdr:rowOff>0</xdr:rowOff>
    </xdr:to>
    <xdr:sp macro="" textlink="">
      <xdr:nvSpPr>
        <xdr:cNvPr id="371" name="TextBox 370">
          <a:extLst>
            <a:ext uri="{FF2B5EF4-FFF2-40B4-BE49-F238E27FC236}">
              <a16:creationId xmlns:a16="http://schemas.microsoft.com/office/drawing/2014/main" id="{80A6B3D8-1E0B-4A9A-AA5B-551A8D26C9F9}"/>
            </a:ext>
          </a:extLst>
        </xdr:cNvPr>
        <xdr:cNvSpPr txBox="1"/>
      </xdr:nvSpPr>
      <xdr:spPr>
        <a:xfrm>
          <a:off x="318248" y="59960434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Indemnity is reviewed</a:t>
          </a:r>
        </a:p>
      </xdr:txBody>
    </xdr:sp>
    <xdr:clientData/>
  </xdr:twoCellAnchor>
  <xdr:twoCellAnchor>
    <xdr:from>
      <xdr:col>5</xdr:col>
      <xdr:colOff>490818</xdr:colOff>
      <xdr:row>441</xdr:row>
      <xdr:rowOff>71717</xdr:rowOff>
    </xdr:from>
    <xdr:to>
      <xdr:col>9</xdr:col>
      <xdr:colOff>526676</xdr:colOff>
      <xdr:row>442</xdr:row>
      <xdr:rowOff>179294</xdr:rowOff>
    </xdr:to>
    <xdr:cxnSp macro="">
      <xdr:nvCxnSpPr>
        <xdr:cNvPr id="372" name="Straight Arrow Connector 371">
          <a:extLst>
            <a:ext uri="{FF2B5EF4-FFF2-40B4-BE49-F238E27FC236}">
              <a16:creationId xmlns:a16="http://schemas.microsoft.com/office/drawing/2014/main" id="{AAD77E00-6B07-4852-BB0A-A4C08D3E4709}"/>
            </a:ext>
          </a:extLst>
        </xdr:cNvPr>
        <xdr:cNvCxnSpPr>
          <a:stCxn id="371" idx="3"/>
        </xdr:cNvCxnSpPr>
      </xdr:nvCxnSpPr>
      <xdr:spPr>
        <a:xfrm>
          <a:off x="1701053" y="60269717"/>
          <a:ext cx="2456329" cy="298077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351865</xdr:colOff>
      <xdr:row>444</xdr:row>
      <xdr:rowOff>179294</xdr:rowOff>
    </xdr:from>
    <xdr:to>
      <xdr:col>9</xdr:col>
      <xdr:colOff>526676</xdr:colOff>
      <xdr:row>445</xdr:row>
      <xdr:rowOff>13447</xdr:rowOff>
    </xdr:to>
    <xdr:cxnSp macro="">
      <xdr:nvCxnSpPr>
        <xdr:cNvPr id="376" name="Straight Arrow Connector 375">
          <a:extLst>
            <a:ext uri="{FF2B5EF4-FFF2-40B4-BE49-F238E27FC236}">
              <a16:creationId xmlns:a16="http://schemas.microsoft.com/office/drawing/2014/main" id="{7C80899B-DE07-43F9-9D66-BA0B856B0593}"/>
            </a:ext>
          </a:extLst>
        </xdr:cNvPr>
        <xdr:cNvCxnSpPr>
          <a:stCxn id="380" idx="3"/>
        </xdr:cNvCxnSpPr>
      </xdr:nvCxnSpPr>
      <xdr:spPr>
        <a:xfrm flipV="1">
          <a:off x="1562100" y="60948794"/>
          <a:ext cx="2595282" cy="24653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179295</xdr:colOff>
      <xdr:row>443</xdr:row>
      <xdr:rowOff>26893</xdr:rowOff>
    </xdr:from>
    <xdr:to>
      <xdr:col>5</xdr:col>
      <xdr:colOff>351865</xdr:colOff>
      <xdr:row>447</xdr:row>
      <xdr:rowOff>1</xdr:rowOff>
    </xdr:to>
    <xdr:sp macro="" textlink="">
      <xdr:nvSpPr>
        <xdr:cNvPr id="380" name="TextBox 379">
          <a:extLst>
            <a:ext uri="{FF2B5EF4-FFF2-40B4-BE49-F238E27FC236}">
              <a16:creationId xmlns:a16="http://schemas.microsoft.com/office/drawing/2014/main" id="{23C9F688-54FF-446D-B49A-AED2A1A5DCE1}"/>
            </a:ext>
          </a:extLst>
        </xdr:cNvPr>
        <xdr:cNvSpPr txBox="1"/>
      </xdr:nvSpPr>
      <xdr:spPr>
        <a:xfrm>
          <a:off x="179295" y="60605893"/>
          <a:ext cx="1382805" cy="73510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Indemnity review is sent to contracts</a:t>
          </a:r>
        </a:p>
      </xdr:txBody>
    </xdr:sp>
    <xdr:clientData/>
  </xdr:twoCellAnchor>
  <xdr:twoCellAnchor>
    <xdr:from>
      <xdr:col>3</xdr:col>
      <xdr:colOff>197224</xdr:colOff>
      <xdr:row>447</xdr:row>
      <xdr:rowOff>156879</xdr:rowOff>
    </xdr:from>
    <xdr:to>
      <xdr:col>5</xdr:col>
      <xdr:colOff>369794</xdr:colOff>
      <xdr:row>451</xdr:row>
      <xdr:rowOff>13445</xdr:rowOff>
    </xdr:to>
    <xdr:sp macro="" textlink="">
      <xdr:nvSpPr>
        <xdr:cNvPr id="384" name="TextBox 383">
          <a:extLst>
            <a:ext uri="{FF2B5EF4-FFF2-40B4-BE49-F238E27FC236}">
              <a16:creationId xmlns:a16="http://schemas.microsoft.com/office/drawing/2014/main" id="{7283BE82-8A17-41D0-9E55-24BD83B78907}"/>
            </a:ext>
          </a:extLst>
        </xdr:cNvPr>
        <xdr:cNvSpPr txBox="1"/>
      </xdr:nvSpPr>
      <xdr:spPr>
        <a:xfrm>
          <a:off x="197224" y="61497879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indemnity review is completed</a:t>
          </a:r>
        </a:p>
      </xdr:txBody>
    </xdr:sp>
    <xdr:clientData/>
  </xdr:twoCellAnchor>
  <xdr:twoCellAnchor>
    <xdr:from>
      <xdr:col>5</xdr:col>
      <xdr:colOff>369794</xdr:colOff>
      <xdr:row>447</xdr:row>
      <xdr:rowOff>123265</xdr:rowOff>
    </xdr:from>
    <xdr:to>
      <xdr:col>9</xdr:col>
      <xdr:colOff>537882</xdr:colOff>
      <xdr:row>449</xdr:row>
      <xdr:rowOff>85162</xdr:rowOff>
    </xdr:to>
    <xdr:cxnSp macro="">
      <xdr:nvCxnSpPr>
        <xdr:cNvPr id="385" name="Straight Arrow Connector 384">
          <a:extLst>
            <a:ext uri="{FF2B5EF4-FFF2-40B4-BE49-F238E27FC236}">
              <a16:creationId xmlns:a16="http://schemas.microsoft.com/office/drawing/2014/main" id="{6DFCF0C1-1A40-400E-9713-827FFEA77296}"/>
            </a:ext>
          </a:extLst>
        </xdr:cNvPr>
        <xdr:cNvCxnSpPr>
          <a:stCxn id="384" idx="3"/>
        </xdr:cNvCxnSpPr>
      </xdr:nvCxnSpPr>
      <xdr:spPr>
        <a:xfrm flipV="1">
          <a:off x="1580029" y="61464265"/>
          <a:ext cx="2588559" cy="342897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</xdr:col>
      <xdr:colOff>0</xdr:colOff>
      <xdr:row>461</xdr:row>
      <xdr:rowOff>0</xdr:rowOff>
    </xdr:from>
    <xdr:to>
      <xdr:col>15</xdr:col>
      <xdr:colOff>551122</xdr:colOff>
      <xdr:row>485</xdr:row>
      <xdr:rowOff>19246</xdr:rowOff>
    </xdr:to>
    <xdr:pic>
      <xdr:nvPicPr>
        <xdr:cNvPr id="401" name="Picture 400">
          <a:extLst>
            <a:ext uri="{FF2B5EF4-FFF2-40B4-BE49-F238E27FC236}">
              <a16:creationId xmlns:a16="http://schemas.microsoft.com/office/drawing/2014/main" id="{E8D0D5C4-B54C-48E2-8EE7-DD9A7356BF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815353" y="64008000"/>
          <a:ext cx="6004800" cy="4564800"/>
        </a:xfrm>
        <a:prstGeom prst="rect">
          <a:avLst/>
        </a:prstGeom>
      </xdr:spPr>
    </xdr:pic>
    <xdr:clientData/>
  </xdr:twoCellAnchor>
  <xdr:twoCellAnchor>
    <xdr:from>
      <xdr:col>12</xdr:col>
      <xdr:colOff>145676</xdr:colOff>
      <xdr:row>477</xdr:row>
      <xdr:rowOff>145677</xdr:rowOff>
    </xdr:from>
    <xdr:to>
      <xdr:col>16</xdr:col>
      <xdr:colOff>450478</xdr:colOff>
      <xdr:row>477</xdr:row>
      <xdr:rowOff>147915</xdr:rowOff>
    </xdr:to>
    <xdr:cxnSp macro="">
      <xdr:nvCxnSpPr>
        <xdr:cNvPr id="402" name="Straight Arrow Connector 401">
          <a:extLst>
            <a:ext uri="{FF2B5EF4-FFF2-40B4-BE49-F238E27FC236}">
              <a16:creationId xmlns:a16="http://schemas.microsoft.com/office/drawing/2014/main" id="{1C406423-6EEC-4076-AF49-05FCBF1A3862}"/>
            </a:ext>
          </a:extLst>
        </xdr:cNvPr>
        <xdr:cNvCxnSpPr>
          <a:stCxn id="407" idx="1"/>
        </xdr:cNvCxnSpPr>
      </xdr:nvCxnSpPr>
      <xdr:spPr>
        <a:xfrm flipH="1" flipV="1">
          <a:off x="5591735" y="67201677"/>
          <a:ext cx="2725272" cy="2238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450478</xdr:colOff>
      <xdr:row>476</xdr:row>
      <xdr:rowOff>29132</xdr:rowOff>
    </xdr:from>
    <xdr:to>
      <xdr:col>19</xdr:col>
      <xdr:colOff>17930</xdr:colOff>
      <xdr:row>479</xdr:row>
      <xdr:rowOff>76198</xdr:rowOff>
    </xdr:to>
    <xdr:sp macro="" textlink="">
      <xdr:nvSpPr>
        <xdr:cNvPr id="407" name="TextBox 406">
          <a:extLst>
            <a:ext uri="{FF2B5EF4-FFF2-40B4-BE49-F238E27FC236}">
              <a16:creationId xmlns:a16="http://schemas.microsoft.com/office/drawing/2014/main" id="{6C7C6917-B429-4059-804C-ED4519833647}"/>
            </a:ext>
          </a:extLst>
        </xdr:cNvPr>
        <xdr:cNvSpPr txBox="1"/>
      </xdr:nvSpPr>
      <xdr:spPr>
        <a:xfrm>
          <a:off x="8317007" y="66894632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CTRA is finalised</a:t>
          </a:r>
        </a:p>
      </xdr:txBody>
    </xdr:sp>
    <xdr:clientData/>
  </xdr:twoCellAnchor>
  <xdr:twoCellAnchor>
    <xdr:from>
      <xdr:col>16</xdr:col>
      <xdr:colOff>445996</xdr:colOff>
      <xdr:row>472</xdr:row>
      <xdr:rowOff>69474</xdr:rowOff>
    </xdr:from>
    <xdr:to>
      <xdr:col>19</xdr:col>
      <xdr:colOff>13448</xdr:colOff>
      <xdr:row>475</xdr:row>
      <xdr:rowOff>116540</xdr:rowOff>
    </xdr:to>
    <xdr:sp macro="" textlink="">
      <xdr:nvSpPr>
        <xdr:cNvPr id="409" name="TextBox 408">
          <a:extLst>
            <a:ext uri="{FF2B5EF4-FFF2-40B4-BE49-F238E27FC236}">
              <a16:creationId xmlns:a16="http://schemas.microsoft.com/office/drawing/2014/main" id="{76F387B4-C44E-4CE2-B756-43CD89DD00E4}"/>
            </a:ext>
          </a:extLst>
        </xdr:cNvPr>
        <xdr:cNvSpPr txBox="1"/>
      </xdr:nvSpPr>
      <xdr:spPr>
        <a:xfrm>
          <a:off x="8312525" y="66172974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of submission to company</a:t>
          </a:r>
        </a:p>
      </xdr:txBody>
    </xdr:sp>
    <xdr:clientData/>
  </xdr:twoCellAnchor>
  <xdr:twoCellAnchor>
    <xdr:from>
      <xdr:col>12</xdr:col>
      <xdr:colOff>134470</xdr:colOff>
      <xdr:row>473</xdr:row>
      <xdr:rowOff>188257</xdr:rowOff>
    </xdr:from>
    <xdr:to>
      <xdr:col>16</xdr:col>
      <xdr:colOff>445996</xdr:colOff>
      <xdr:row>476</xdr:row>
      <xdr:rowOff>22412</xdr:rowOff>
    </xdr:to>
    <xdr:cxnSp macro="">
      <xdr:nvCxnSpPr>
        <xdr:cNvPr id="410" name="Straight Arrow Connector 409">
          <a:extLst>
            <a:ext uri="{FF2B5EF4-FFF2-40B4-BE49-F238E27FC236}">
              <a16:creationId xmlns:a16="http://schemas.microsoft.com/office/drawing/2014/main" id="{76066F07-D75C-4E5A-A665-69CD9109E50E}"/>
            </a:ext>
          </a:extLst>
        </xdr:cNvPr>
        <xdr:cNvCxnSpPr>
          <a:stCxn id="409" idx="1"/>
        </xdr:cNvCxnSpPr>
      </xdr:nvCxnSpPr>
      <xdr:spPr>
        <a:xfrm flipH="1">
          <a:off x="5580529" y="66482257"/>
          <a:ext cx="2731996" cy="405655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463926</xdr:colOff>
      <xdr:row>468</xdr:row>
      <xdr:rowOff>76197</xdr:rowOff>
    </xdr:from>
    <xdr:to>
      <xdr:col>19</xdr:col>
      <xdr:colOff>31378</xdr:colOff>
      <xdr:row>471</xdr:row>
      <xdr:rowOff>123263</xdr:rowOff>
    </xdr:to>
    <xdr:sp macro="" textlink="">
      <xdr:nvSpPr>
        <xdr:cNvPr id="413" name="TextBox 412">
          <a:extLst>
            <a:ext uri="{FF2B5EF4-FFF2-40B4-BE49-F238E27FC236}">
              <a16:creationId xmlns:a16="http://schemas.microsoft.com/office/drawing/2014/main" id="{A2B4D1AD-D60E-4BDB-87EA-35AE40C1D017}"/>
            </a:ext>
          </a:extLst>
        </xdr:cNvPr>
        <xdr:cNvSpPr txBox="1"/>
      </xdr:nvSpPr>
      <xdr:spPr>
        <a:xfrm>
          <a:off x="8330455" y="65417697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of VTG sign-off</a:t>
          </a:r>
        </a:p>
      </xdr:txBody>
    </xdr:sp>
    <xdr:clientData/>
  </xdr:twoCellAnchor>
  <xdr:twoCellAnchor>
    <xdr:from>
      <xdr:col>5</xdr:col>
      <xdr:colOff>407896</xdr:colOff>
      <xdr:row>473</xdr:row>
      <xdr:rowOff>67235</xdr:rowOff>
    </xdr:from>
    <xdr:to>
      <xdr:col>9</xdr:col>
      <xdr:colOff>470647</xdr:colOff>
      <xdr:row>475</xdr:row>
      <xdr:rowOff>123262</xdr:rowOff>
    </xdr:to>
    <xdr:cxnSp macro="">
      <xdr:nvCxnSpPr>
        <xdr:cNvPr id="414" name="Straight Arrow Connector 413">
          <a:extLst>
            <a:ext uri="{FF2B5EF4-FFF2-40B4-BE49-F238E27FC236}">
              <a16:creationId xmlns:a16="http://schemas.microsoft.com/office/drawing/2014/main" id="{497AFD1F-6D4C-4792-AF59-CB5D5AB3246C}"/>
            </a:ext>
          </a:extLst>
        </xdr:cNvPr>
        <xdr:cNvCxnSpPr>
          <a:stCxn id="417" idx="3"/>
        </xdr:cNvCxnSpPr>
      </xdr:nvCxnSpPr>
      <xdr:spPr>
        <a:xfrm flipV="1">
          <a:off x="1618131" y="66361235"/>
          <a:ext cx="2483222" cy="437027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235326</xdr:colOff>
      <xdr:row>474</xdr:row>
      <xdr:rowOff>4479</xdr:rowOff>
    </xdr:from>
    <xdr:to>
      <xdr:col>5</xdr:col>
      <xdr:colOff>407896</xdr:colOff>
      <xdr:row>477</xdr:row>
      <xdr:rowOff>51545</xdr:rowOff>
    </xdr:to>
    <xdr:sp macro="" textlink="">
      <xdr:nvSpPr>
        <xdr:cNvPr id="417" name="TextBox 416">
          <a:extLst>
            <a:ext uri="{FF2B5EF4-FFF2-40B4-BE49-F238E27FC236}">
              <a16:creationId xmlns:a16="http://schemas.microsoft.com/office/drawing/2014/main" id="{1D9E9516-43F4-4BA5-B55E-8F5629780732}"/>
            </a:ext>
          </a:extLst>
        </xdr:cNvPr>
        <xdr:cNvSpPr txBox="1"/>
      </xdr:nvSpPr>
      <xdr:spPr>
        <a:xfrm>
          <a:off x="235326" y="66488979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of COO/CFO Sign-off</a:t>
          </a:r>
        </a:p>
      </xdr:txBody>
    </xdr:sp>
    <xdr:clientData/>
  </xdr:twoCellAnchor>
  <xdr:twoCellAnchor>
    <xdr:from>
      <xdr:col>12</xdr:col>
      <xdr:colOff>179294</xdr:colOff>
      <xdr:row>470</xdr:row>
      <xdr:rowOff>156880</xdr:rowOff>
    </xdr:from>
    <xdr:to>
      <xdr:col>17</xdr:col>
      <xdr:colOff>11208</xdr:colOff>
      <xdr:row>474</xdr:row>
      <xdr:rowOff>112059</xdr:rowOff>
    </xdr:to>
    <xdr:cxnSp macro="">
      <xdr:nvCxnSpPr>
        <xdr:cNvPr id="418" name="Straight Arrow Connector 417">
          <a:extLst>
            <a:ext uri="{FF2B5EF4-FFF2-40B4-BE49-F238E27FC236}">
              <a16:creationId xmlns:a16="http://schemas.microsoft.com/office/drawing/2014/main" id="{CD28C4B6-90EB-40CC-A26B-2020DD0AED03}"/>
            </a:ext>
          </a:extLst>
        </xdr:cNvPr>
        <xdr:cNvCxnSpPr/>
      </xdr:nvCxnSpPr>
      <xdr:spPr>
        <a:xfrm flipH="1">
          <a:off x="5625353" y="65879380"/>
          <a:ext cx="2857502" cy="717179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230844</xdr:colOff>
      <xdr:row>470</xdr:row>
      <xdr:rowOff>112056</xdr:rowOff>
    </xdr:from>
    <xdr:to>
      <xdr:col>5</xdr:col>
      <xdr:colOff>403414</xdr:colOff>
      <xdr:row>473</xdr:row>
      <xdr:rowOff>159122</xdr:rowOff>
    </xdr:to>
    <xdr:sp macro="" textlink="">
      <xdr:nvSpPr>
        <xdr:cNvPr id="422" name="TextBox 421">
          <a:extLst>
            <a:ext uri="{FF2B5EF4-FFF2-40B4-BE49-F238E27FC236}">
              <a16:creationId xmlns:a16="http://schemas.microsoft.com/office/drawing/2014/main" id="{7CA8561E-2574-404B-9E7E-09A4BC8CEF3B}"/>
            </a:ext>
          </a:extLst>
        </xdr:cNvPr>
        <xdr:cNvSpPr txBox="1"/>
      </xdr:nvSpPr>
      <xdr:spPr>
        <a:xfrm>
          <a:off x="230844" y="65834556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of Finance Review and Approval</a:t>
          </a:r>
        </a:p>
      </xdr:txBody>
    </xdr:sp>
    <xdr:clientData/>
  </xdr:twoCellAnchor>
  <xdr:twoCellAnchor>
    <xdr:from>
      <xdr:col>5</xdr:col>
      <xdr:colOff>403414</xdr:colOff>
      <xdr:row>471</xdr:row>
      <xdr:rowOff>134471</xdr:rowOff>
    </xdr:from>
    <xdr:to>
      <xdr:col>9</xdr:col>
      <xdr:colOff>470647</xdr:colOff>
      <xdr:row>472</xdr:row>
      <xdr:rowOff>40339</xdr:rowOff>
    </xdr:to>
    <xdr:cxnSp macro="">
      <xdr:nvCxnSpPr>
        <xdr:cNvPr id="423" name="Straight Arrow Connector 422">
          <a:extLst>
            <a:ext uri="{FF2B5EF4-FFF2-40B4-BE49-F238E27FC236}">
              <a16:creationId xmlns:a16="http://schemas.microsoft.com/office/drawing/2014/main" id="{1477A5DE-DC95-424E-8B09-9245A272AC54}"/>
            </a:ext>
          </a:extLst>
        </xdr:cNvPr>
        <xdr:cNvCxnSpPr>
          <a:stCxn id="422" idx="3"/>
        </xdr:cNvCxnSpPr>
      </xdr:nvCxnSpPr>
      <xdr:spPr>
        <a:xfrm flipV="1">
          <a:off x="1613649" y="66047471"/>
          <a:ext cx="2487704" cy="96368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259981</xdr:colOff>
      <xdr:row>467</xdr:row>
      <xdr:rowOff>6721</xdr:rowOff>
    </xdr:from>
    <xdr:to>
      <xdr:col>5</xdr:col>
      <xdr:colOff>432551</xdr:colOff>
      <xdr:row>470</xdr:row>
      <xdr:rowOff>53787</xdr:rowOff>
    </xdr:to>
    <xdr:sp macro="" textlink="">
      <xdr:nvSpPr>
        <xdr:cNvPr id="427" name="TextBox 426">
          <a:extLst>
            <a:ext uri="{FF2B5EF4-FFF2-40B4-BE49-F238E27FC236}">
              <a16:creationId xmlns:a16="http://schemas.microsoft.com/office/drawing/2014/main" id="{D0E3425C-1498-4AF0-BC18-BBF9D344C8A7}"/>
            </a:ext>
          </a:extLst>
        </xdr:cNvPr>
        <xdr:cNvSpPr txBox="1"/>
      </xdr:nvSpPr>
      <xdr:spPr>
        <a:xfrm>
          <a:off x="259981" y="65157721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of UWA review</a:t>
          </a:r>
        </a:p>
      </xdr:txBody>
    </xdr:sp>
    <xdr:clientData/>
  </xdr:twoCellAnchor>
  <xdr:twoCellAnchor>
    <xdr:from>
      <xdr:col>5</xdr:col>
      <xdr:colOff>432551</xdr:colOff>
      <xdr:row>468</xdr:row>
      <xdr:rowOff>125504</xdr:rowOff>
    </xdr:from>
    <xdr:to>
      <xdr:col>9</xdr:col>
      <xdr:colOff>493059</xdr:colOff>
      <xdr:row>469</xdr:row>
      <xdr:rowOff>100853</xdr:rowOff>
    </xdr:to>
    <xdr:cxnSp macro="">
      <xdr:nvCxnSpPr>
        <xdr:cNvPr id="428" name="Straight Arrow Connector 427">
          <a:extLst>
            <a:ext uri="{FF2B5EF4-FFF2-40B4-BE49-F238E27FC236}">
              <a16:creationId xmlns:a16="http://schemas.microsoft.com/office/drawing/2014/main" id="{DF0F881C-0F74-45D9-87EE-03DFD47F23A2}"/>
            </a:ext>
          </a:extLst>
        </xdr:cNvPr>
        <xdr:cNvCxnSpPr>
          <a:stCxn id="427" idx="3"/>
        </xdr:cNvCxnSpPr>
      </xdr:nvCxnSpPr>
      <xdr:spPr>
        <a:xfrm>
          <a:off x="1642786" y="65467004"/>
          <a:ext cx="2480979" cy="165849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401174</xdr:colOff>
      <xdr:row>459</xdr:row>
      <xdr:rowOff>136708</xdr:rowOff>
    </xdr:from>
    <xdr:to>
      <xdr:col>11</xdr:col>
      <xdr:colOff>573744</xdr:colOff>
      <xdr:row>463</xdr:row>
      <xdr:rowOff>145676</xdr:rowOff>
    </xdr:to>
    <xdr:sp macro="" textlink="">
      <xdr:nvSpPr>
        <xdr:cNvPr id="431" name="TextBox 430">
          <a:extLst>
            <a:ext uri="{FF2B5EF4-FFF2-40B4-BE49-F238E27FC236}">
              <a16:creationId xmlns:a16="http://schemas.microsoft.com/office/drawing/2014/main" id="{2914CF14-4FAD-4163-9B5F-0B3103B87F3C}"/>
            </a:ext>
          </a:extLst>
        </xdr:cNvPr>
        <xdr:cNvSpPr txBox="1"/>
      </xdr:nvSpPr>
      <xdr:spPr>
        <a:xfrm>
          <a:off x="4031880" y="63763708"/>
          <a:ext cx="1382805" cy="77096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of submitted to research, governance and contract</a:t>
          </a:r>
        </a:p>
      </xdr:txBody>
    </xdr:sp>
    <xdr:clientData/>
  </xdr:twoCellAnchor>
  <xdr:twoCellAnchor>
    <xdr:from>
      <xdr:col>10</xdr:col>
      <xdr:colOff>481853</xdr:colOff>
      <xdr:row>463</xdr:row>
      <xdr:rowOff>145676</xdr:rowOff>
    </xdr:from>
    <xdr:to>
      <xdr:col>10</xdr:col>
      <xdr:colOff>487459</xdr:colOff>
      <xdr:row>468</xdr:row>
      <xdr:rowOff>22412</xdr:rowOff>
    </xdr:to>
    <xdr:cxnSp macro="">
      <xdr:nvCxnSpPr>
        <xdr:cNvPr id="432" name="Straight Arrow Connector 431">
          <a:extLst>
            <a:ext uri="{FF2B5EF4-FFF2-40B4-BE49-F238E27FC236}">
              <a16:creationId xmlns:a16="http://schemas.microsoft.com/office/drawing/2014/main" id="{41DA2322-4446-4DD8-BDAD-6C5F8AA29789}"/>
            </a:ext>
          </a:extLst>
        </xdr:cNvPr>
        <xdr:cNvCxnSpPr>
          <a:stCxn id="431" idx="2"/>
        </xdr:cNvCxnSpPr>
      </xdr:nvCxnSpPr>
      <xdr:spPr>
        <a:xfrm flipH="1">
          <a:off x="4717677" y="64534676"/>
          <a:ext cx="5606" cy="829236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</xdr:col>
      <xdr:colOff>0</xdr:colOff>
      <xdr:row>488</xdr:row>
      <xdr:rowOff>0</xdr:rowOff>
    </xdr:from>
    <xdr:to>
      <xdr:col>15</xdr:col>
      <xdr:colOff>551122</xdr:colOff>
      <xdr:row>512</xdr:row>
      <xdr:rowOff>19245</xdr:rowOff>
    </xdr:to>
    <xdr:pic>
      <xdr:nvPicPr>
        <xdr:cNvPr id="441" name="Picture 440">
          <a:extLst>
            <a:ext uri="{FF2B5EF4-FFF2-40B4-BE49-F238E27FC236}">
              <a16:creationId xmlns:a16="http://schemas.microsoft.com/office/drawing/2014/main" id="{33403C58-7402-45CA-AF07-602EEFAC71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815353" y="69173912"/>
          <a:ext cx="6004800" cy="4564800"/>
        </a:xfrm>
        <a:prstGeom prst="rect">
          <a:avLst/>
        </a:prstGeom>
      </xdr:spPr>
    </xdr:pic>
    <xdr:clientData/>
  </xdr:twoCellAnchor>
  <xdr:twoCellAnchor>
    <xdr:from>
      <xdr:col>5</xdr:col>
      <xdr:colOff>396691</xdr:colOff>
      <xdr:row>500</xdr:row>
      <xdr:rowOff>33619</xdr:rowOff>
    </xdr:from>
    <xdr:to>
      <xdr:col>9</xdr:col>
      <xdr:colOff>470647</xdr:colOff>
      <xdr:row>502</xdr:row>
      <xdr:rowOff>170327</xdr:rowOff>
    </xdr:to>
    <xdr:cxnSp macro="">
      <xdr:nvCxnSpPr>
        <xdr:cNvPr id="442" name="Straight Arrow Connector 441">
          <a:extLst>
            <a:ext uri="{FF2B5EF4-FFF2-40B4-BE49-F238E27FC236}">
              <a16:creationId xmlns:a16="http://schemas.microsoft.com/office/drawing/2014/main" id="{73FFC2FA-ADF4-4F21-BBC5-E078D775DED9}"/>
            </a:ext>
          </a:extLst>
        </xdr:cNvPr>
        <xdr:cNvCxnSpPr>
          <a:stCxn id="445" idx="3"/>
        </xdr:cNvCxnSpPr>
      </xdr:nvCxnSpPr>
      <xdr:spPr>
        <a:xfrm flipV="1">
          <a:off x="1606926" y="71493531"/>
          <a:ext cx="2494427" cy="517708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224121</xdr:colOff>
      <xdr:row>500</xdr:row>
      <xdr:rowOff>172566</xdr:rowOff>
    </xdr:from>
    <xdr:to>
      <xdr:col>5</xdr:col>
      <xdr:colOff>396691</xdr:colOff>
      <xdr:row>504</xdr:row>
      <xdr:rowOff>168087</xdr:rowOff>
    </xdr:to>
    <xdr:sp macro="" textlink="">
      <xdr:nvSpPr>
        <xdr:cNvPr id="445" name="TextBox 444">
          <a:extLst>
            <a:ext uri="{FF2B5EF4-FFF2-40B4-BE49-F238E27FC236}">
              <a16:creationId xmlns:a16="http://schemas.microsoft.com/office/drawing/2014/main" id="{1267327E-D6D6-459D-BABB-C721063D9F7C}"/>
            </a:ext>
          </a:extLst>
        </xdr:cNvPr>
        <xdr:cNvSpPr txBox="1"/>
      </xdr:nvSpPr>
      <xdr:spPr>
        <a:xfrm>
          <a:off x="224121" y="71632478"/>
          <a:ext cx="1382805" cy="75752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of when the financial disclosure is completed</a:t>
          </a:r>
        </a:p>
      </xdr:txBody>
    </xdr:sp>
    <xdr:clientData/>
  </xdr:twoCellAnchor>
  <xdr:twoCellAnchor editAs="oneCell">
    <xdr:from>
      <xdr:col>6</xdr:col>
      <xdr:colOff>0</xdr:colOff>
      <xdr:row>515</xdr:row>
      <xdr:rowOff>0</xdr:rowOff>
    </xdr:from>
    <xdr:to>
      <xdr:col>15</xdr:col>
      <xdr:colOff>551122</xdr:colOff>
      <xdr:row>538</xdr:row>
      <xdr:rowOff>154500</xdr:rowOff>
    </xdr:to>
    <xdr:pic>
      <xdr:nvPicPr>
        <xdr:cNvPr id="450" name="Picture 449">
          <a:extLst>
            <a:ext uri="{FF2B5EF4-FFF2-40B4-BE49-F238E27FC236}">
              <a16:creationId xmlns:a16="http://schemas.microsoft.com/office/drawing/2014/main" id="{FFA49B26-145D-4CE5-ADFA-361E06BFA4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815353" y="74328618"/>
          <a:ext cx="6004800" cy="4536000"/>
        </a:xfrm>
        <a:prstGeom prst="rect">
          <a:avLst/>
        </a:prstGeom>
      </xdr:spPr>
    </xdr:pic>
    <xdr:clientData/>
  </xdr:twoCellAnchor>
  <xdr:twoCellAnchor>
    <xdr:from>
      <xdr:col>16</xdr:col>
      <xdr:colOff>242052</xdr:colOff>
      <xdr:row>523</xdr:row>
      <xdr:rowOff>100849</xdr:rowOff>
    </xdr:from>
    <xdr:to>
      <xdr:col>18</xdr:col>
      <xdr:colOff>224117</xdr:colOff>
      <xdr:row>526</xdr:row>
      <xdr:rowOff>112058</xdr:rowOff>
    </xdr:to>
    <xdr:sp macro="" textlink="">
      <xdr:nvSpPr>
        <xdr:cNvPr id="451" name="TextBox 450">
          <a:extLst>
            <a:ext uri="{FF2B5EF4-FFF2-40B4-BE49-F238E27FC236}">
              <a16:creationId xmlns:a16="http://schemas.microsoft.com/office/drawing/2014/main" id="{53EC91AC-3047-4B32-8DB7-73729940A96D}"/>
            </a:ext>
          </a:extLst>
        </xdr:cNvPr>
        <xdr:cNvSpPr txBox="1"/>
      </xdr:nvSpPr>
      <xdr:spPr>
        <a:xfrm>
          <a:off x="8108581" y="75953467"/>
          <a:ext cx="1192301" cy="58270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of site initiation visit</a:t>
          </a:r>
        </a:p>
        <a:p>
          <a:endParaRPr lang="en-AU" sz="1000" baseline="0"/>
        </a:p>
      </xdr:txBody>
    </xdr:sp>
    <xdr:clientData/>
  </xdr:twoCellAnchor>
  <xdr:twoCellAnchor>
    <xdr:from>
      <xdr:col>12</xdr:col>
      <xdr:colOff>168089</xdr:colOff>
      <xdr:row>525</xdr:row>
      <xdr:rowOff>11204</xdr:rowOff>
    </xdr:from>
    <xdr:to>
      <xdr:col>16</xdr:col>
      <xdr:colOff>242052</xdr:colOff>
      <xdr:row>526</xdr:row>
      <xdr:rowOff>100853</xdr:rowOff>
    </xdr:to>
    <xdr:cxnSp macro="">
      <xdr:nvCxnSpPr>
        <xdr:cNvPr id="452" name="Straight Arrow Connector 451">
          <a:extLst>
            <a:ext uri="{FF2B5EF4-FFF2-40B4-BE49-F238E27FC236}">
              <a16:creationId xmlns:a16="http://schemas.microsoft.com/office/drawing/2014/main" id="{7EDBE568-E06F-4518-9D24-ED29596C2254}"/>
            </a:ext>
          </a:extLst>
        </xdr:cNvPr>
        <xdr:cNvCxnSpPr>
          <a:stCxn id="451" idx="1"/>
        </xdr:cNvCxnSpPr>
      </xdr:nvCxnSpPr>
      <xdr:spPr>
        <a:xfrm flipH="1">
          <a:off x="5614148" y="76244822"/>
          <a:ext cx="2494433" cy="280149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74295</xdr:colOff>
      <xdr:row>2</xdr:row>
      <xdr:rowOff>1905</xdr:rowOff>
    </xdr:from>
    <xdr:to>
      <xdr:col>1</xdr:col>
      <xdr:colOff>1809750</xdr:colOff>
      <xdr:row>4</xdr:row>
      <xdr:rowOff>133350</xdr:rowOff>
    </xdr:to>
    <xdr:sp macro="[0]!OpenForm.OpenFor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4F4F842-CA5F-454B-B695-B7CDD7B1C20C}"/>
            </a:ext>
          </a:extLst>
        </xdr:cNvPr>
        <xdr:cNvSpPr/>
      </xdr:nvSpPr>
      <xdr:spPr>
        <a:xfrm>
          <a:off x="74295" y="382905"/>
          <a:ext cx="1925955" cy="32194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/>
            <a:t>Click Here to Open</a:t>
          </a:r>
          <a:r>
            <a:rPr lang="en-AU" sz="1100" b="1" baseline="0"/>
            <a:t> User Form</a:t>
          </a:r>
          <a:endParaRPr lang="en-AU" sz="1100" b="1"/>
        </a:p>
      </xdr:txBody>
    </xdr:sp>
    <xdr:clientData/>
  </xdr:twoCellAnchor>
  <xdr:twoCellAnchor>
    <xdr:from>
      <xdr:col>9</xdr:col>
      <xdr:colOff>520065</xdr:colOff>
      <xdr:row>0</xdr:row>
      <xdr:rowOff>26672</xdr:rowOff>
    </xdr:from>
    <xdr:to>
      <xdr:col>10</xdr:col>
      <xdr:colOff>750570</xdr:colOff>
      <xdr:row>1</xdr:row>
      <xdr:rowOff>47626</xdr:rowOff>
    </xdr:to>
    <xdr:sp macro="[0]!ExportCode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23477799-9039-4E83-9485-94CC1C9FDAF4}"/>
            </a:ext>
          </a:extLst>
        </xdr:cNvPr>
        <xdr:cNvSpPr/>
      </xdr:nvSpPr>
      <xdr:spPr>
        <a:xfrm>
          <a:off x="2729865" y="26672"/>
          <a:ext cx="1506855" cy="211454"/>
        </a:xfrm>
        <a:prstGeom prst="roundRect">
          <a:avLst/>
        </a:prstGeom>
        <a:solidFill>
          <a:schemeClr val="accent4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ysClr val="windowText" lastClr="000000"/>
              </a:solidFill>
            </a:rPr>
            <a:t>Click to Export Code</a:t>
          </a:r>
        </a:p>
      </xdr:txBody>
    </xdr:sp>
    <xdr:clientData/>
  </xdr:twoCellAnchor>
  <xdr:twoCellAnchor>
    <xdr:from>
      <xdr:col>0</xdr:col>
      <xdr:colOff>78105</xdr:colOff>
      <xdr:row>11</xdr:row>
      <xdr:rowOff>0</xdr:rowOff>
    </xdr:from>
    <xdr:to>
      <xdr:col>1</xdr:col>
      <xdr:colOff>1379220</xdr:colOff>
      <xdr:row>11</xdr:row>
      <xdr:rowOff>0</xdr:rowOff>
    </xdr:to>
    <xdr:sp macro="[0]!ImportCod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76FE526A-9903-4911-93CB-8BF5A3503511}"/>
            </a:ext>
          </a:extLst>
        </xdr:cNvPr>
        <xdr:cNvSpPr/>
      </xdr:nvSpPr>
      <xdr:spPr>
        <a:xfrm>
          <a:off x="78105" y="1074420"/>
          <a:ext cx="1501140" cy="321945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/>
            <a:t>Click to Import Code</a:t>
          </a:r>
        </a:p>
      </xdr:txBody>
    </xdr:sp>
    <xdr:clientData/>
  </xdr:twoCellAnchor>
  <xdr:twoCellAnchor>
    <xdr:from>
      <xdr:col>10</xdr:col>
      <xdr:colOff>973455</xdr:colOff>
      <xdr:row>0</xdr:row>
      <xdr:rowOff>9525</xdr:rowOff>
    </xdr:from>
    <xdr:to>
      <xdr:col>11</xdr:col>
      <xdr:colOff>762000</xdr:colOff>
      <xdr:row>1</xdr:row>
      <xdr:rowOff>28575</xdr:rowOff>
    </xdr:to>
    <xdr:sp macro="[0]!ImportCode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6BEE8F6-CC09-474E-A49F-E5D0C4A1C8A5}"/>
            </a:ext>
          </a:extLst>
        </xdr:cNvPr>
        <xdr:cNvSpPr/>
      </xdr:nvSpPr>
      <xdr:spPr>
        <a:xfrm>
          <a:off x="4459605" y="9525"/>
          <a:ext cx="1512570" cy="20955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ysClr val="windowText" lastClr="000000"/>
              </a:solidFill>
            </a:rPr>
            <a:t>Click to Import Code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600075</xdr:colOff>
      <xdr:row>1</xdr:row>
      <xdr:rowOff>171450</xdr:rowOff>
    </xdr:from>
    <xdr:to>
      <xdr:col>2</xdr:col>
      <xdr:colOff>1790700</xdr:colOff>
      <xdr:row>4</xdr:row>
      <xdr:rowOff>9525</xdr:rowOff>
    </xdr:to>
    <xdr:sp macro="[0]!Bring_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691160F-FD6B-4F17-9B64-449FE76D7881}"/>
            </a:ext>
          </a:extLst>
        </xdr:cNvPr>
        <xdr:cNvSpPr/>
      </xdr:nvSpPr>
      <xdr:spPr>
        <a:xfrm>
          <a:off x="3886200" y="409575"/>
          <a:ext cx="1190625" cy="409575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/>
            <a:t>BRING IN DATA</a:t>
          </a:r>
        </a:p>
      </xdr:txBody>
    </xdr:sp>
    <xdr:clientData/>
  </xdr:twoCellAnchor>
  <xdr:twoCellAnchor>
    <xdr:from>
      <xdr:col>0</xdr:col>
      <xdr:colOff>480060</xdr:colOff>
      <xdr:row>4</xdr:row>
      <xdr:rowOff>175260</xdr:rowOff>
    </xdr:from>
    <xdr:to>
      <xdr:col>1</xdr:col>
      <xdr:colOff>996315</xdr:colOff>
      <xdr:row>6</xdr:row>
      <xdr:rowOff>125730</xdr:rowOff>
    </xdr:to>
    <xdr:sp macro="[0]!OpenForm.OpenForm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16AB1B46-4A68-48DA-AEFB-7F37BD10BA91}"/>
            </a:ext>
          </a:extLst>
        </xdr:cNvPr>
        <xdr:cNvSpPr/>
      </xdr:nvSpPr>
      <xdr:spPr>
        <a:xfrm>
          <a:off x="480060" y="952500"/>
          <a:ext cx="1933575" cy="31623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/>
            <a:t>Click Here to Open</a:t>
          </a:r>
          <a:r>
            <a:rPr lang="en-AU" sz="1100" b="1" baseline="0"/>
            <a:t> User Form</a:t>
          </a:r>
          <a:endParaRPr lang="en-AU" sz="1100" b="1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D2666A9-87E0-46EB-A037-D9EB94680FA7}" name="Register" displayName="Register" ref="D5:FD11" totalsRowShown="0" headerRowDxfId="158" dataDxfId="157">
  <tableColumns count="157">
    <tableColumn id="2" xr3:uid="{E7B8E3E7-876D-4E6F-8DB6-EF6D63439B27}" name="Date Entry Created" dataDxfId="156"/>
    <tableColumn id="3" xr3:uid="{3B5F919B-773E-47C5-BF9F-89E119924443}" name="User who Created Entry" dataDxfId="155"/>
    <tableColumn id="4" xr3:uid="{52C1C417-C52A-493E-89C7-EC47FA6A00DC}" name="Date Entry Deleted" dataDxfId="154"/>
    <tableColumn id="5" xr3:uid="{39C233C4-ADDB-4C9D-B737-5A0D8E1492BE}" name="User who Deleted Entry" dataDxfId="153"/>
    <tableColumn id="6" xr3:uid="{53729740-3F8D-4BAC-8FEC-59BDF6B2F443}" name="Date Entry Last Accessed" dataDxfId="152"/>
    <tableColumn id="7" xr3:uid="{DA0D4432-1F96-408E-9E20-0A93307325A9}" name="User who Last Accessed Entry" dataDxfId="151"/>
    <tableColumn id="8" xr3:uid="{6F0FF61C-C081-4935-8428-D4A47A4BBCB1}" name="Study Status" dataDxfId="150"/>
    <tableColumn id="9" xr3:uid="{C168B0E8-6B0E-4738-889B-03EE11931C45}" name="Protocol No." dataDxfId="149"/>
    <tableColumn id="10" xr3:uid="{62BEA025-DC58-429A-B106-10071F770F88}" name="Study Name" dataDxfId="148"/>
    <tableColumn id="11" xr3:uid="{A7B3BCB5-4CA7-47DC-90C2-9737F39C4784}" name="Study Sponsor" dataDxfId="147"/>
    <tableColumn id="12" xr3:uid="{1A28A6FA-BECD-4E0C-97EC-097A90AB4595}" name="Study CRO" dataDxfId="146"/>
    <tableColumn id="13" xr3:uid="{BDE3F8E5-FC27-4DAB-B793-A5713B6A05CB}" name="Age Range" dataDxfId="145"/>
    <tableColumn id="114" xr3:uid="{C3A7D0BB-FBFB-4222-A5F2-E44B2DBBE12D}" name="Study Details - Reminder Comments" dataDxfId="144"/>
    <tableColumn id="14" xr3:uid="{C5F3DA46-F052-48BE-94E3-59FE83081C77}" name="Study Details - Date Entry Last Updated" dataDxfId="143"/>
    <tableColumn id="15" xr3:uid="{903EEA94-3205-4F60-B1EA-1A80730E5B85}" name="Study Details - User who Last Updated Entry" dataDxfId="142"/>
    <tableColumn id="16" xr3:uid="{F5215BDF-02E1-45F9-88DD-0714639FAD8A}" name="Date CDA Received from Sponsor" dataDxfId="141"/>
    <tableColumn id="17" xr3:uid="{A8829C95-7D06-40EF-A721-FE939DC97EB9}" name="Date CDA sent to Contracts" dataDxfId="140"/>
    <tableColumn id="18" xr3:uid="{D859B066-7B5B-43EA-AD34-13EDE3C8CA7D}" name="Date CDA received from Contracts" dataDxfId="139"/>
    <tableColumn id="115" xr3:uid="{DADD424C-6CA0-4B5C-8566-00FE2C6B71F4}" name="Date CDA Sent to Sponsor" dataDxfId="138"/>
    <tableColumn id="19" xr3:uid="{139AA284-7F13-43A5-935F-106F82F10E17}" name="Date CDA Finalised" dataDxfId="137"/>
    <tableColumn id="122" xr3:uid="{B1B5C73C-4C57-4744-B9FB-FC81708CCC79}" name="CDA - Reminder Comments" dataDxfId="136"/>
    <tableColumn id="123" xr3:uid="{02E5F42B-2B00-4720-8545-D242CBC48F48}" name="CDA - Date Entry Last Updated" dataDxfId="135"/>
    <tableColumn id="124" xr3:uid="{4E7B4A14-1BA5-413A-89F2-1142F6EA0975}" name="CDA - User who Last Updated Entry" dataDxfId="134"/>
    <tableColumn id="20" xr3:uid="{00B938A1-5FA0-4259-AB48-59245BD5B96B}" name="Date Feasibility Received" dataDxfId="133"/>
    <tableColumn id="21" xr3:uid="{377F9082-7AC6-481E-8D5E-847514CBFAE2}" name="Date Feasibility Completed" dataDxfId="132"/>
    <tableColumn id="22" xr3:uid="{47126869-0590-4768-961B-E71134854875}" name="Completed By" dataDxfId="131"/>
    <tableColumn id="23" xr3:uid="{C1B1A656-AD56-419F-A6BA-82410BA6FB72}" name="Feasibility - Reminder Comments" dataDxfId="130"/>
    <tableColumn id="24" xr3:uid="{3298FCE0-DF1B-4163-AF5E-5856EF6A5797}" name="Feasibility - Date Entry Last Updated" dataDxfId="129"/>
    <tableColumn id="25" xr3:uid="{2A63CCD3-6A71-4165-B717-934BB9CEA00F}" name="Feasibility - User who Last Updated Entry" dataDxfId="128"/>
    <tableColumn id="26" xr3:uid="{AE8576F6-6F3A-4F8C-82F8-AED30A298B2C}" name="Pre-study Visit Date" dataDxfId="127"/>
    <tableColumn id="27" xr3:uid="{2513F984-57FD-4F89-AEF5-B11AB763DCA5}" name="Pre-study Visit Type" dataDxfId="126"/>
    <tableColumn id="28" xr3:uid="{F5EECCEE-20EC-402D-9A57-09CEA2247FF1}" name="Validation Visit Date" dataDxfId="125"/>
    <tableColumn id="29" xr3:uid="{6EF2D96C-7E36-48AE-9EE7-ED8EC82EDFF4}" name="Validation Visit Type" dataDxfId="124"/>
    <tableColumn id="30" xr3:uid="{51E11A76-451B-46A4-85A8-09E968D8AF8A}" name="Site Selection Date" dataDxfId="123"/>
    <tableColumn id="31" xr3:uid="{0F2B93F0-E2A3-444D-BC1E-1BC3A281076D}" name="Site Select - Reminder Comments" dataDxfId="122"/>
    <tableColumn id="32" xr3:uid="{A933B59E-36EB-4313-8833-770EAACAC06D}" name="Site Select - Date Entry Last Updated" dataDxfId="121"/>
    <tableColumn id="33" xr3:uid="{D562D6DF-BA87-48CC-8834-4FFA44DE6888}" name="Site Select - User who Last Updated Entry" dataDxfId="120"/>
    <tableColumn id="34" xr3:uid="{C024650E-D2B9-4914-AA95-97023111AD29}" name="Date of Planning Meeting" dataDxfId="119"/>
    <tableColumn id="36" xr3:uid="{74B76F35-6293-4966-8F03-9D16F8EE9633}" name="Recruitment - Reminder Comments" dataDxfId="118"/>
    <tableColumn id="37" xr3:uid="{459708C4-D1D4-40EF-A8A8-F079E3916192}" name="Recruitment - Date Entry Last Updated" dataDxfId="117"/>
    <tableColumn id="38" xr3:uid="{442EA66B-AAF5-4117-A5E1-21F93B6A6967}" name="Recruitment - User who Last Updated Entry" dataDxfId="116"/>
    <tableColumn id="39" xr3:uid="{9964B3C8-3D02-46EB-BDED-26C767EB4AC3}" name="CAHS  Ethics Review - Date Submitted" dataDxfId="115"/>
    <tableColumn id="40" xr3:uid="{26247281-2CB3-4883-AE24-B79420FC7AEE}" name="CAHS Ethics Review - Date Responded" dataDxfId="114"/>
    <tableColumn id="41" xr3:uid="{1EDE9511-F7C5-4A34-8867-BA0BF688A7AC}" name="CAHS Ethics Review - Date Resubmitted" dataDxfId="113"/>
    <tableColumn id="42" xr3:uid="{44AA9C42-401C-49EC-B29A-4A0D4296D637}" name="CAHS Ethics Review - Date Approved" dataDxfId="112"/>
    <tableColumn id="144" xr3:uid="{9BDA9C3D-23A1-4808-90C2-ADFCE1862D66}" name="CAHS Ethics Review - Reminder Comments" dataDxfId="111"/>
    <tableColumn id="43" xr3:uid="{798082B2-B03E-4B46-9A56-738B3B0F5E5A}" name="NMA Ethics Review - Ethics Committee Name" dataDxfId="110"/>
    <tableColumn id="44" xr3:uid="{2CB54EA0-B100-443E-B617-B4D691F38DCC}" name="NMA Ethics Review - Date Submitted" dataDxfId="109"/>
    <tableColumn id="45" xr3:uid="{F76C4994-5BC1-48EA-981A-39BD032C029E}" name="NMA Ethics Review - Date Approved" dataDxfId="108"/>
    <tableColumn id="145" xr3:uid="{33E02E59-C393-47A1-9C1D-95E2AD40AEDC}" name="NMA Ethics Review - Reminder Comments" dataDxfId="107"/>
    <tableColumn id="46" xr3:uid="{76E7AC61-E480-4261-A0AB-7E565019132E}" name="WNHS Ethics Review - Date Submitted" dataDxfId="106"/>
    <tableColumn id="47" xr3:uid="{86AF5B51-5617-486F-9B3A-57E302C39871}" name="WNHS Ethics Review - Date Approved" dataDxfId="105"/>
    <tableColumn id="146" xr3:uid="{BECCF7AC-666C-4193-BF7C-2FD2ECAA5FD3}" name="WNHS Ethics Review - Reminder Comments" dataDxfId="104"/>
    <tableColumn id="48" xr3:uid="{90FD63C9-46AA-40BA-9205-9E3460E0F3FE}" name="SJOG Ethics Review - Date Submitted" dataDxfId="103"/>
    <tableColumn id="49" xr3:uid="{31EE4506-BE3C-4091-B749-CD3ED9859A01}" name="SJOG Ethics Review - Date Approved" dataDxfId="102"/>
    <tableColumn id="147" xr3:uid="{5BFA60D1-902D-4F5A-8FF1-2CAC221A0E17}" name="SJOG Ethics Review - Reminder Comments" dataDxfId="101"/>
    <tableColumn id="50" xr3:uid="{BB79F0B0-58FA-41B6-A978-5F76858B4DA7}" name="Other Ethics Review - Ethics Committee Name" dataDxfId="100"/>
    <tableColumn id="51" xr3:uid="{F75D2536-4793-4BDC-BB7B-DA378B34C6B3}" name="Other Ethics Review - Date Submitted" dataDxfId="99"/>
    <tableColumn id="52" xr3:uid="{F769CB72-B86F-46DC-A286-CDCEBD740457}" name="Other Ethics Review - Date Approved" dataDxfId="98"/>
    <tableColumn id="148" xr3:uid="{288E50EF-D6AD-42DA-B55D-009E3FF77AEE}" name="Others Ethics Review - Reminder Comments" dataDxfId="97"/>
    <tableColumn id="54" xr3:uid="{C8C3DA21-4F24-49BB-912A-7D22EA189220}" name="Ethics - Date Entry Last Updated" dataDxfId="96"/>
    <tableColumn id="55" xr3:uid="{62C7921E-2056-435B-AB9B-E89ABF257981}" name="Ethics - User who Last Updated Entry" dataDxfId="95"/>
    <tableColumn id="56" xr3:uid="{0615EC98-9B6E-4944-A6FF-E88640C3193F}" name="PCH Gov. Review - Date Submitted" dataDxfId="94"/>
    <tableColumn id="57" xr3:uid="{D24239AB-E437-4E7F-A042-34905B1BC3B2}" name="PCH Gov. Review - Date Responded" dataDxfId="93"/>
    <tableColumn id="58" xr3:uid="{025D2BED-5811-407D-83F1-4D2039079103}" name="PCH Gov. Review - Date Approved" dataDxfId="92"/>
    <tableColumn id="149" xr3:uid="{FF16417D-5089-4AD5-B3F7-16462AA2F3E3}" name="PCH Gov. Review - Reminder Comments" dataDxfId="91"/>
    <tableColumn id="59" xr3:uid="{0A796D18-5B75-4C80-A92D-12A864CB9880}" name="TKI Gov. Review - Date Submitted" dataDxfId="90"/>
    <tableColumn id="60" xr3:uid="{4972A11A-0ED2-419B-8656-18ABCA58416C}" name="TKI Gov. Review - Date Responded" dataDxfId="89"/>
    <tableColumn id="61" xr3:uid="{88A687E1-8C73-413E-9601-62473B748106}" name="TKI Gov. Review - Date Approved" dataDxfId="88"/>
    <tableColumn id="150" xr3:uid="{9AD4C570-CC85-4B56-88C5-38A067CF6FE7}" name="TKI Gov. Review - Reminder Comments" dataDxfId="87"/>
    <tableColumn id="62" xr3:uid="{79F8CC08-2272-415D-BCF7-CF29FFB77D6B}" name="KEMH Gov. Review - Date Submitted" dataDxfId="86"/>
    <tableColumn id="63" xr3:uid="{3CB3BA88-D84A-48EA-B765-C3EEFF3AD46F}" name="KEMH Gov. Review - Date Responded" dataDxfId="85"/>
    <tableColumn id="64" xr3:uid="{4E3A6DA4-5C8C-4ED4-A9A0-ABFFE82391EB}" name="KEMH Gov. Review - Date Approved" dataDxfId="84"/>
    <tableColumn id="151" xr3:uid="{997B1773-B53E-434B-B0FD-D0B70B45AD75}" name="KEMH Gov. Review - Reminder Comments" dataDxfId="83"/>
    <tableColumn id="65" xr3:uid="{A443B807-D4EF-4494-BCF7-3B72E08694DC}" name="SJOG Subiaco Gov. Review - Date Submitted" dataDxfId="82"/>
    <tableColumn id="66" xr3:uid="{DD2922A4-7353-4C3E-9446-6B545F1B6A73}" name="SJOG Subiaco Gov. Review - Date Responded" dataDxfId="81"/>
    <tableColumn id="67" xr3:uid="{39EBD920-89C6-48C4-AA11-2202683C8421}" name="SJOG Subiaco Gov. Review - Date Approved" dataDxfId="80"/>
    <tableColumn id="152" xr3:uid="{9A235062-2CD0-4809-A067-C31DEEB8478C}" name="SJOG Subiaco Gov. Review - Reminder Comments" dataDxfId="79"/>
    <tableColumn id="68" xr3:uid="{630217EE-5B88-404C-A98D-66036539C9CF}" name="SJOG Mt Lawley Gov. Review - Date Submitted" dataDxfId="78"/>
    <tableColumn id="69" xr3:uid="{00123D1D-27B4-4B38-AE60-5BB9E8F89B05}" name="SJOG Mt Lawley Gov. Review - Date Responded" dataDxfId="77"/>
    <tableColumn id="70" xr3:uid="{BFB4ACA6-F32B-4157-A5AC-B4775E3641C4}" name="SJOG Mt Lawley Gov. Review - Date Approved" dataDxfId="76"/>
    <tableColumn id="153" xr3:uid="{A34B5CDD-7720-4799-9FC6-A3F07560FBAD}" name="SJOG Mt Lawley Gov. Review - Reminder Comments" dataDxfId="75"/>
    <tableColumn id="71" xr3:uid="{65824E65-5F62-40FF-B404-A77F41919759}" name="SJOG Murdoch Gov. Review - Date Submitted" dataDxfId="74"/>
    <tableColumn id="72" xr3:uid="{39B9CFDF-F020-40EE-9574-8F5E05CC59F5}" name="SJOG Murdoch Gov. Review - Date Responded" dataDxfId="73"/>
    <tableColumn id="73" xr3:uid="{79D673C6-9F43-4581-BADC-9143E00B486D}" name="SJOG Murdoch Gov. Review - Date Approved" dataDxfId="72"/>
    <tableColumn id="154" xr3:uid="{C64ECE7E-5D96-4D46-9EB3-0DA30C5B4782}" name="SJOG Murdoch Gov. Review - Reminder Comments" dataDxfId="71"/>
    <tableColumn id="74" xr3:uid="{6FCA8FAF-0DAB-4AD1-AAE4-304E922AFD9C}" name="Other Gov. Review - Governance Body" dataDxfId="70"/>
    <tableColumn id="75" xr3:uid="{6577E397-E046-4CE7-9285-A01130B0F798}" name="Other Gov. Review - Date Submitted" dataDxfId="69"/>
    <tableColumn id="76" xr3:uid="{58CB8C09-C7B6-4F45-BB52-CF8674AD811C}" name="Other Gov. Review - Date Responded" dataDxfId="68"/>
    <tableColumn id="77" xr3:uid="{D5C40437-C6D5-4D8D-B4CC-57B24B05A463}" name="Other Gov. Review - Date Approved" dataDxfId="67"/>
    <tableColumn id="155" xr3:uid="{AF2C1E44-101A-4660-AC4A-B6DA58F44F6A}" name="Others Gov. Review - Reminder Comments" dataDxfId="66"/>
    <tableColumn id="79" xr3:uid="{9A9461B3-2B66-4A3D-BF70-EB9B95DECD11}" name="Governance - Date Entry Last Updated" dataDxfId="65"/>
    <tableColumn id="80" xr3:uid="{626B8BE8-1541-4454-A8CE-47B0BD429392}" name="Governance - User who Last Updated Entry" dataDxfId="64"/>
    <tableColumn id="81" xr3:uid="{6B75C9B1-2352-42A5-82C3-B580E87FD170}" name="VTG Budget Review - Date Finalised" dataDxfId="63"/>
    <tableColumn id="82" xr3:uid="{75FFB480-BE64-4522-9C0F-57DD067606BB}" name="VTG Budget Review - Date Submitted to Finance" dataDxfId="62"/>
    <tableColumn id="83" xr3:uid="{68CA3BCD-DF78-40FA-8CF4-A445896AE8DA}" name="VTG Budget Review - Date Approved" dataDxfId="61"/>
    <tableColumn id="156" xr3:uid="{7EF262DA-5754-4863-A852-2F131616C45E}" name="VTG Budget Review - Reminder Comments" dataDxfId="60"/>
    <tableColumn id="84" xr3:uid="{8FFCDE2C-2733-42BB-A35B-D69164207B06}" name="TKI Budget Review - Date Approved" dataDxfId="59"/>
    <tableColumn id="157" xr3:uid="{0E648BCC-4A2D-4EC2-9879-3C367DB71226}" name="TKI Budget Review - Reminder Comments" dataDxfId="58"/>
    <tableColumn id="85" xr3:uid="{6AFD5E5C-93F2-4A4D-A7CB-AD5951CED9C8}" name="Pharmacy Budget Review - Date Quote Received" dataDxfId="57"/>
    <tableColumn id="86" xr3:uid="{A844F452-F561-4298-B42D-2C6B75451D2B}" name="Pharmacy Budget Review - Date PO Finalised" dataDxfId="56"/>
    <tableColumn id="158" xr3:uid="{D0607939-1828-48CB-B6AA-A112FFECFF24}" name="Pharmacy Budget Review - Reminder Comments" dataDxfId="55"/>
    <tableColumn id="88" xr3:uid="{9F78CF46-4D6F-4F2F-85F7-C44117D22BE2}" name="Budget - Date Entry Last Updated" dataDxfId="54"/>
    <tableColumn id="89" xr3:uid="{661FB2C1-04FC-4E59-8AC5-EA5880B60C62}" name="Budget - User who Last Updated Entry" dataDxfId="53"/>
    <tableColumn id="90" xr3:uid="{7D4600DF-25C0-477B-804F-C7731C44FAF0}" name="Indemnity Review - Date Received" dataDxfId="52"/>
    <tableColumn id="91" xr3:uid="{BBBBD697-C807-4E80-B22D-5AB877D128B9}" name="Indemnity Review - Date Sent to Contracts" dataDxfId="51"/>
    <tableColumn id="92" xr3:uid="{8D0E79C2-3325-4CF4-9795-4574111719D7}" name="Indemnity Review - Date Completed" dataDxfId="50"/>
    <tableColumn id="93" xr3:uid="{F78413AA-3BCC-4AFC-93E9-752DB0D6EE7F}" name="Indemnity - Reminder Comments" dataDxfId="49"/>
    <tableColumn id="94" xr3:uid="{FCF2F161-8C62-4199-A427-36C7423EC4D2}" name="Indemnity - Date Entry Last Updated" dataDxfId="48"/>
    <tableColumn id="95" xr3:uid="{B46611FA-EB79-4C3B-BFE5-40930639DD40}" name="Indemnity - User who Last Updated Entry" dataDxfId="47"/>
    <tableColumn id="96" xr3:uid="{8D1B4908-F483-49FE-91DB-1E1975636120}" name="CTRA - Date submitted to Research, Gov. &amp; Contracts" dataDxfId="46"/>
    <tableColumn id="97" xr3:uid="{562497F3-5849-45D8-AF12-2C1ED56732F1}" name="CTRA - Date of UWA Review" dataDxfId="45"/>
    <tableColumn id="98" xr3:uid="{BA1BB81E-4EF2-437A-9AD0-EC02033CC8F5}" name="CTRA - Date of Finance Review &amp; Approval" dataDxfId="44"/>
    <tableColumn id="99" xr3:uid="{2A96554F-29DD-42AB-A725-F4B6D4F90979}" name="CTRA - Date of COO / CFO sign-off" dataDxfId="43"/>
    <tableColumn id="100" xr3:uid="{22222C86-17E0-4549-BFE8-D7F10210EDC5}" name="CTRA - Date of VTG sign-off" dataDxfId="42"/>
    <tableColumn id="101" xr3:uid="{C797BCD9-1E56-4B88-ADAD-48FAAF88EF70}" name="CTRA - Date of submission to Company" dataDxfId="41"/>
    <tableColumn id="102" xr3:uid="{8A03AEAE-CEB4-42E9-8C7E-A7A974E85A39}" name="CTRA - Date Finalised" dataDxfId="40"/>
    <tableColumn id="103" xr3:uid="{585067F2-0DD8-4AC8-9958-7149C564015B}" name="CTRA - Reminder Comments" dataDxfId="39"/>
    <tableColumn id="104" xr3:uid="{91B30194-C36B-4490-B356-0BFF07DB46DB}" name="CTRA - Date Entry Last Updated" dataDxfId="38"/>
    <tableColumn id="105" xr3:uid="{7579B37E-01CB-44D3-8336-F43826DBAE1D}" name="CTRA - User who Last Updated Entry" dataDxfId="37"/>
    <tableColumn id="106" xr3:uid="{AB9F4B42-B713-4DF1-B852-3F96AB72776F}" name="Date Financial Disclosure Completed" dataDxfId="36"/>
    <tableColumn id="107" xr3:uid="{157206C9-8BC6-4229-A2E6-C6E94F204C07}" name="Fin. Disc. - Reminder Comments" dataDxfId="35"/>
    <tableColumn id="108" xr3:uid="{7531B9AB-7FE6-4349-AAD5-799FB1253501}" name="Fin. Disc. - Date Entry Last Updated" dataDxfId="34"/>
    <tableColumn id="109" xr3:uid="{7FA74446-EA0A-4529-8772-08A4EDF68C7F}" name="Fin. Disc. - User who Last Updated Entry" dataDxfId="33"/>
    <tableColumn id="110" xr3:uid="{DD9F3EB9-59A2-4EAF-A925-8F55ACD8417F}" name="Date of Site Initiation Visit" dataDxfId="32"/>
    <tableColumn id="111" xr3:uid="{6818FC6B-B8AD-4B1D-8844-94D5C2E53D03}" name="SIV - Reminder Comments" dataDxfId="31"/>
    <tableColumn id="112" xr3:uid="{DDD987A1-CA15-4B6D-817F-D4D84B94F758}" name="SIV - Date Entry Last Updated" dataDxfId="30"/>
    <tableColumn id="113" xr3:uid="{3E4DD0DD-9BDA-4CA8-8A38-D3205AB533E3}" name="SIV - User who Last Updated Entry" dataDxfId="29"/>
    <tableColumn id="116" xr3:uid="{7796515B-70C0-44B5-AC23-3B8D8118C024}" name="Study Details Complete" dataDxfId="28"/>
    <tableColumn id="117" xr3:uid="{9EEB8B23-A4CB-4351-BA34-28B875CA5BC9}" name="CDA Complete" dataDxfId="27"/>
    <tableColumn id="118" xr3:uid="{EEAF9685-FF58-4299-8AC9-70EAA41D7867}" name="FS Complete" dataDxfId="26"/>
    <tableColumn id="119" xr3:uid="{5A71745D-F91F-430E-85CB-6A3ADD0FB772}" name="Site Selection Complete" dataDxfId="25"/>
    <tableColumn id="120" xr3:uid="{51A43A1E-C977-4D5A-AB3B-B853BC3664B2}" name="Recruitment Complete" dataDxfId="24"/>
    <tableColumn id="125" xr3:uid="{5335C76C-7C49-4E93-8894-36BD0B1E9804}" name="Ethics - CAHS Complete" dataDxfId="23"/>
    <tableColumn id="126" xr3:uid="{6151F69C-D5F9-4128-A8E3-E444A31C4646}" name="Ethics - NMA Complete" dataDxfId="22"/>
    <tableColumn id="127" xr3:uid="{9815D2CB-7014-4939-A39D-D99E35ADF880}" name="Ethics - WNHS Complete" dataDxfId="21"/>
    <tableColumn id="128" xr3:uid="{C5816B87-1D9E-443D-B71D-EF2D56B064FF}" name="Ethics - SJOG Complete" dataDxfId="20"/>
    <tableColumn id="129" xr3:uid="{53DFFA91-EBD7-414F-B499-00141C01A736}" name="Ethics - Others Complete" dataDxfId="19"/>
    <tableColumn id="130" xr3:uid="{6DEF5359-846A-472E-944D-281B57926E62}" name="Gov - PCH Complete" dataDxfId="18"/>
    <tableColumn id="121" xr3:uid="{5BA4DB4D-271A-4BB3-94C9-A78D01150788}" name="Gov - TKI Complete" dataDxfId="17"/>
    <tableColumn id="131" xr3:uid="{C9A3CA08-C8A7-4291-92C9-705C74D485AD}" name="Gov - KEMH Complete" dataDxfId="16"/>
    <tableColumn id="132" xr3:uid="{873FD3D8-F030-49F1-A92C-6E32C445C899}" name="Gov - SJOG Subiaco Complete" dataDxfId="15"/>
    <tableColumn id="133" xr3:uid="{B8FF200A-00A6-4130-B768-491439CBFBE7}" name="Gov - SJOG Mt Lawley Complete" dataDxfId="14"/>
    <tableColumn id="134" xr3:uid="{13941F44-D716-4592-BC82-B255BE12E60C}" name="Gov - SJOG Murdoch Complete" dataDxfId="13"/>
    <tableColumn id="135" xr3:uid="{65C1857A-EC53-4A30-8B4D-8610A2522D10}" name="Gov - Others Complete" dataDxfId="12"/>
    <tableColumn id="136" xr3:uid="{E474FC60-EFC4-474D-9C31-CEF1A05FD126}" name="Budget - VTG Complete" dataDxfId="11"/>
    <tableColumn id="137" xr3:uid="{A1CA2D0C-A904-4071-916A-3EA32C06434B}" name="Budget - TKI Complete" dataDxfId="10"/>
    <tableColumn id="138" xr3:uid="{9906220F-039C-40DA-AA46-ECC109B914AD}" name="Budget - Pharmacy Complete" dataDxfId="9"/>
    <tableColumn id="139" xr3:uid="{A08FFA89-66DB-4DD3-BDF6-36DB93440443}" name="Indemnity Complete" dataDxfId="8"/>
    <tableColumn id="140" xr3:uid="{B66F3B52-4D1F-4A39-87B7-4E9740B05ACD}" name="CTRA Complete" dataDxfId="7"/>
    <tableColumn id="141" xr3:uid="{0F417A9F-84AB-492F-878B-EE38BA61D4C8}" name="Fin Disc Complete" dataDxfId="6"/>
    <tableColumn id="142" xr3:uid="{86AF2DD4-CDD5-49D8-99CF-C0B75D633343}" name="SIV Complete" dataDxfId="5"/>
    <tableColumn id="53" xr3:uid="{8B387D3A-A5E5-4E45-86F9-DE7899DB64F9}" name="Overall Ethics" dataDxfId="4">
      <calculatedColumnFormula>IF(COUNTA(Register[[#This Row],[Ethics - CAHS Complete]:[Ethics - Others Complete]])=0, "",IF(COUNTIF(Register[[#This Row],[Ethics - CAHS Complete]:[Ethics - Others Complete]],TRUE)&gt;0,TRUE,FALSE))</calculatedColumnFormula>
    </tableColumn>
    <tableColumn id="35" xr3:uid="{3E2A2F63-9A22-47B9-97ED-C171D2182E53}" name="Overall Governance" dataDxfId="3">
      <calculatedColumnFormula>IF(COUNTA(Register[[#This Row],[Gov - PCH Complete]:[Gov - Others Complete]])=0,"",IF(COUNTIF(Register[[#This Row],[Gov - PCH Complete]:[Gov - Others Complete]],TRUE)&gt;0,TRUE,FALSE))</calculatedColumnFormula>
    </tableColumn>
    <tableColumn id="78" xr3:uid="{DECCD8B5-9C49-4AFE-80BE-D8B7959F2438}" name="Overall Budget" dataDxfId="2">
      <calculatedColumnFormula>IF(COUNTA(Register[[#This Row],[Budget - VTG Complete]:[Budget - Pharmacy Complete]])=0,"",IF(COUNTIF(Register[[#This Row],[Budget - VTG Complete]:[Budget - Pharmacy Complete]],TRUE)=3,TRUE,FALSE))</calculatedColumnFormula>
    </tableColumn>
    <tableColumn id="1" xr3:uid="{B91B003B-F3C0-47B0-8525-28AEA2164F6C}" name="Overall Study" dataDxfId="1">
      <calculatedColumnFormula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calculatedColumnFormula>
    </tableColumn>
    <tableColumn id="143" xr3:uid="{913EC14F-DFDE-47C6-8878-E25A3F13CB44}" name="Fast Cycle Location" dataDxfId="0">
      <calculatedColumnFormula array="1">IFERROR(MATCH(FALSE,Register[[#This Row],[Study Details Complete]:[SIV Complete]],0),IFERROR(MATCH(TRUE,ISBLANK(Register[[#This Row],[Study Details Complete]:[SIV Complete]]),0),1))</calculatedColumnFormula>
    </tableColumn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F71FA0D-A2B7-482A-A023-A60E304F8E05}" name="Report" displayName="Report" ref="A10:AI15" totalsRowShown="0" headerRowDxfId="196" dataDxfId="195">
  <autoFilter ref="A10:AI15" xr:uid="{F456AC9D-7704-49A5-9205-9A7479E6BB27}"/>
  <sortState xmlns:xlrd2="http://schemas.microsoft.com/office/spreadsheetml/2017/richdata2" ref="A11:AH11">
    <sortCondition sortBy="cellColor" ref="H10:H11" dxfId="194"/>
  </sortState>
  <tableColumns count="35">
    <tableColumn id="1" xr3:uid="{029E10D2-95CB-4A6C-A47D-5641AC7A0055}" name="Study Status" dataDxfId="193"/>
    <tableColumn id="2" xr3:uid="{C49E588C-C4DE-45DE-88D5-8AC662409270}" name="Date Created" dataDxfId="192"/>
    <tableColumn id="4" xr3:uid="{831920DE-86BC-4898-81E1-AFFE932379B9}" name="Study Name" dataDxfId="191"/>
    <tableColumn id="3" xr3:uid="{C89F95A8-564E-4403-ADDA-D618383A4E30}" name="Date Last Updated" dataDxfId="190"/>
    <tableColumn id="5" xr3:uid="{DBB29CFB-ACDE-4E61-9041-3A6725ECBB27}" name="Protocol Number" dataDxfId="189"/>
    <tableColumn id="6" xr3:uid="{797AA5C8-8301-4F2C-B556-C53458E6016A}" name="Sponsor" dataDxfId="188"/>
    <tableColumn id="7" xr3:uid="{748046CD-22D1-4C98-8DE3-13B23900F208}" name="CRO" dataDxfId="187"/>
    <tableColumn id="8" xr3:uid="{38F62305-511B-4EAD-9BDD-0022F8DC6DAA}" name="Age Range / Reminder" dataDxfId="186"/>
    <tableColumn id="9" xr3:uid="{698728C0-A3C6-4D45-80A4-E160B8579B34}" name="CDA" dataDxfId="185"/>
    <tableColumn id="10" xr3:uid="{D7B7B8B1-BF7A-4A91-ADD1-2CB3C730B1C0}" name="Feasibility" dataDxfId="184"/>
    <tableColumn id="11" xr3:uid="{D85A0B2B-DDF0-4AC3-A45A-14BE5D41416C}" name="Site Selection" dataDxfId="183"/>
    <tableColumn id="12" xr3:uid="{A585822F-A959-43D7-A424-A352E75F0954}" name="Recruitment Plan" dataDxfId="182"/>
    <tableColumn id="13" xr3:uid="{A50841ED-F2DD-44DB-930B-FD81AB2D7F3A}" name="Overall Ethics Approval" dataDxfId="181"/>
    <tableColumn id="14" xr3:uid="{3672012C-48E1-419C-B55B-23BB64AE6630}" name="CAHS Ethics Approval" dataDxfId="180"/>
    <tableColumn id="15" xr3:uid="{70445A27-BE6C-46C3-840C-A0065A95B092}" name="NMA Ethics Approval" dataDxfId="179"/>
    <tableColumn id="16" xr3:uid="{7D837278-B6BA-4B88-9FC0-A216926910A6}" name="WNHS Ethics Approval" dataDxfId="178"/>
    <tableColumn id="17" xr3:uid="{BCF683F3-0404-4D41-B20B-A0B5568F1A71}" name="SJOG Ethics Approval" dataDxfId="177"/>
    <tableColumn id="18" xr3:uid="{D761C224-84DB-4A19-A5DE-A0FED02242EA}" name="Others Ethics Approval" dataDxfId="176"/>
    <tableColumn id="19" xr3:uid="{20837BA9-29D0-4811-9FB7-2D6B5D622895}" name="Overall Governance Approval" dataDxfId="175"/>
    <tableColumn id="20" xr3:uid="{EF20339A-2979-4A87-90D2-747954CEAB85}" name="PCH Governance Approval" dataDxfId="174"/>
    <tableColumn id="21" xr3:uid="{70B43F0F-6BCD-481B-AE6F-3FB8E581C9FC}" name="TKI Governance Approval" dataDxfId="173"/>
    <tableColumn id="22" xr3:uid="{3599AB99-9AB4-4B40-9179-C6A5293BDC33}" name="KEMH Governance Approval" dataDxfId="172"/>
    <tableColumn id="23" xr3:uid="{A6D56650-2AE0-4EFB-AFE1-C6E750A07789}" name="SJOG Subiaco Gov. Approval" dataDxfId="171"/>
    <tableColumn id="24" xr3:uid="{5D7B2183-EA74-4B58-97D5-37B39713E12B}" name="SJOG Mt Lawley Gov. Approval" dataDxfId="170"/>
    <tableColumn id="25" xr3:uid="{72FD141E-3D6C-4F9F-BB49-6E5C1486E59D}" name="SJOG Murdoch Gov. Approval" dataDxfId="169"/>
    <tableColumn id="26" xr3:uid="{87E41995-0250-481D-9B0B-127CB14DF101}" name="Others Governance Approval" dataDxfId="168"/>
    <tableColumn id="28" xr3:uid="{802E393F-5F08-438F-A004-2797CBDC916C}" name="Indemnity" dataDxfId="167"/>
    <tableColumn id="29" xr3:uid="{48942A0D-04A4-4AA4-B0FA-0BCC4794A86F}" name="Overall Budget Approval" dataDxfId="166"/>
    <tableColumn id="30" xr3:uid="{2BF2686A-593C-48E2-A4EC-5A543E823C91}" name="VTG Budget Approval" dataDxfId="165"/>
    <tableColumn id="31" xr3:uid="{E8F3A721-A4AD-4D0A-9090-CF01FFA27211}" name="TKI Budget Approval" dataDxfId="164"/>
    <tableColumn id="27" xr3:uid="{05AF522F-6AC7-4443-89A1-48B670B86CEF}" name="Pharmacy Quotation" dataDxfId="163"/>
    <tableColumn id="32" xr3:uid="{5AC8E1DB-6C96-4851-9276-8131F5D9D6B1}" name="CTRA" dataDxfId="162"/>
    <tableColumn id="33" xr3:uid="{F3FAABC5-44EB-456B-96CF-1558F99C073F}" name="Financial Disclosure" dataDxfId="161"/>
    <tableColumn id="34" xr3:uid="{71268665-458F-45C4-B8D1-01BF5A88F4CE}" name="SIV" dataDxfId="160"/>
    <tableColumn id="35" xr3:uid="{EC2F8BA2-8544-4032-B95D-E7B0809FEFFD}" name="Register Index" dataDxfId="159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ablebits.com/office-addins-blog/2020/03/11/enable-disable-macros-excel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FA1927-C096-4687-BF30-2F9D2297B626}">
  <sheetPr codeName="Sheet4"/>
  <dimension ref="C1:U541"/>
  <sheetViews>
    <sheetView showGridLines="0" topLeftCell="A19" zoomScaleNormal="100" workbookViewId="0">
      <selection activeCell="E34" sqref="E34"/>
    </sheetView>
  </sheetViews>
  <sheetFormatPr defaultRowHeight="15" x14ac:dyDescent="0.25"/>
  <cols>
    <col min="5" max="5" width="9.140625" customWidth="1"/>
  </cols>
  <sheetData>
    <row r="1" spans="3:21" ht="15.75" thickBot="1" x14ac:dyDescent="0.3"/>
    <row r="2" spans="3:21" x14ac:dyDescent="0.25">
      <c r="C2" s="46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7"/>
      <c r="T2" s="47"/>
      <c r="U2" s="48"/>
    </row>
    <row r="3" spans="3:21" ht="18.75" x14ac:dyDescent="0.3">
      <c r="C3" s="60">
        <v>1</v>
      </c>
      <c r="D3" s="50" t="s">
        <v>306</v>
      </c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51"/>
    </row>
    <row r="4" spans="3:21" x14ac:dyDescent="0.25">
      <c r="C4" s="49"/>
      <c r="D4" s="23" t="s">
        <v>305</v>
      </c>
      <c r="E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51"/>
    </row>
    <row r="5" spans="3:21" x14ac:dyDescent="0.25">
      <c r="C5" s="49"/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51"/>
    </row>
    <row r="6" spans="3:21" x14ac:dyDescent="0.25">
      <c r="C6" s="49"/>
      <c r="D6" s="23" t="s">
        <v>307</v>
      </c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51"/>
    </row>
    <row r="7" spans="3:21" x14ac:dyDescent="0.25">
      <c r="C7" s="49"/>
      <c r="D7" s="23" t="s">
        <v>309</v>
      </c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51"/>
    </row>
    <row r="8" spans="3:21" x14ac:dyDescent="0.25">
      <c r="C8" s="49"/>
      <c r="D8" s="52" t="s">
        <v>308</v>
      </c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51"/>
    </row>
    <row r="9" spans="3:21" ht="15.75" thickBot="1" x14ac:dyDescent="0.3">
      <c r="C9" s="55"/>
      <c r="D9" s="56"/>
      <c r="E9" s="56"/>
      <c r="F9" s="56"/>
      <c r="G9" s="56"/>
      <c r="H9" s="56"/>
      <c r="I9" s="56"/>
      <c r="J9" s="56"/>
      <c r="K9" s="56"/>
      <c r="L9" s="56"/>
      <c r="M9" s="56"/>
      <c r="N9" s="56"/>
      <c r="O9" s="56"/>
      <c r="P9" s="56"/>
      <c r="Q9" s="56"/>
      <c r="R9" s="56"/>
      <c r="S9" s="56"/>
      <c r="T9" s="56"/>
      <c r="U9" s="57"/>
    </row>
    <row r="10" spans="3:21" x14ac:dyDescent="0.25">
      <c r="C10" s="46"/>
      <c r="D10" s="47"/>
      <c r="E10" s="47"/>
      <c r="F10" s="47"/>
      <c r="G10" s="47"/>
      <c r="H10" s="47"/>
      <c r="I10" s="47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8"/>
    </row>
    <row r="11" spans="3:21" ht="18.75" x14ac:dyDescent="0.3">
      <c r="C11" s="60">
        <v>2</v>
      </c>
      <c r="D11" s="50" t="s">
        <v>310</v>
      </c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51"/>
    </row>
    <row r="12" spans="3:21" x14ac:dyDescent="0.25">
      <c r="C12" s="49"/>
      <c r="D12" s="23" t="s">
        <v>311</v>
      </c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51"/>
    </row>
    <row r="13" spans="3:21" x14ac:dyDescent="0.25">
      <c r="C13" s="49"/>
      <c r="D13" s="58" t="s">
        <v>314</v>
      </c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51"/>
    </row>
    <row r="14" spans="3:21" x14ac:dyDescent="0.25">
      <c r="C14" s="49"/>
      <c r="D14" s="58" t="s">
        <v>315</v>
      </c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51"/>
    </row>
    <row r="15" spans="3:21" x14ac:dyDescent="0.25">
      <c r="C15" s="49"/>
      <c r="D15" s="58" t="s">
        <v>318</v>
      </c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51"/>
    </row>
    <row r="16" spans="3:21" x14ac:dyDescent="0.25">
      <c r="C16" s="49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51"/>
    </row>
    <row r="17" spans="3:21" x14ac:dyDescent="0.25">
      <c r="C17" s="49"/>
      <c r="D17" s="59" t="s">
        <v>316</v>
      </c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51"/>
    </row>
    <row r="18" spans="3:21" x14ac:dyDescent="0.25">
      <c r="C18" s="49"/>
      <c r="D18" s="58" t="s">
        <v>317</v>
      </c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51"/>
    </row>
    <row r="19" spans="3:21" x14ac:dyDescent="0.25">
      <c r="C19" s="49"/>
      <c r="D19" s="23" t="s">
        <v>312</v>
      </c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51"/>
    </row>
    <row r="20" spans="3:21" x14ac:dyDescent="0.25">
      <c r="C20" s="49"/>
      <c r="D20" s="23" t="s">
        <v>313</v>
      </c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51"/>
    </row>
    <row r="21" spans="3:21" ht="15.75" thickBot="1" x14ac:dyDescent="0.3">
      <c r="C21" s="55"/>
      <c r="D21" s="56"/>
      <c r="E21" s="56"/>
      <c r="F21" s="56"/>
      <c r="G21" s="56"/>
      <c r="H21" s="56"/>
      <c r="I21" s="56"/>
      <c r="J21" s="56"/>
      <c r="K21" s="56"/>
      <c r="L21" s="56"/>
      <c r="M21" s="56"/>
      <c r="N21" s="56"/>
      <c r="O21" s="56"/>
      <c r="P21" s="56"/>
      <c r="Q21" s="56"/>
      <c r="R21" s="56"/>
      <c r="S21" s="56"/>
      <c r="T21" s="56"/>
      <c r="U21" s="57"/>
    </row>
    <row r="22" spans="3:21" x14ac:dyDescent="0.25">
      <c r="C22" s="49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51"/>
    </row>
    <row r="23" spans="3:21" ht="18.75" x14ac:dyDescent="0.3">
      <c r="C23" s="60">
        <v>3</v>
      </c>
      <c r="D23" s="50" t="s">
        <v>319</v>
      </c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51"/>
    </row>
    <row r="24" spans="3:21" x14ac:dyDescent="0.25">
      <c r="C24" s="49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51"/>
    </row>
    <row r="25" spans="3:21" x14ac:dyDescent="0.25">
      <c r="C25" s="49"/>
      <c r="D25" s="23"/>
      <c r="E25" s="23" t="s">
        <v>261</v>
      </c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51"/>
    </row>
    <row r="26" spans="3:21" x14ac:dyDescent="0.25">
      <c r="C26" s="49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51"/>
    </row>
    <row r="27" spans="3:21" x14ac:dyDescent="0.25">
      <c r="C27" s="49"/>
      <c r="D27" s="53">
        <v>1</v>
      </c>
      <c r="E27" s="23" t="s">
        <v>302</v>
      </c>
      <c r="F27" s="23"/>
      <c r="G27" s="23"/>
      <c r="H27" s="23"/>
      <c r="I27" s="23"/>
      <c r="J27" s="23"/>
      <c r="K27" s="23"/>
      <c r="L27" s="23"/>
      <c r="N27" s="23"/>
      <c r="O27" s="23"/>
      <c r="P27" s="23"/>
      <c r="Q27" s="23"/>
      <c r="R27" s="23"/>
      <c r="S27" s="23"/>
      <c r="T27" s="23"/>
      <c r="U27" s="51"/>
    </row>
    <row r="28" spans="3:21" x14ac:dyDescent="0.25">
      <c r="C28" s="49"/>
      <c r="D28" s="23"/>
      <c r="E28" s="23"/>
      <c r="F28" s="23"/>
      <c r="G28" s="23"/>
      <c r="H28" s="23"/>
      <c r="I28" s="23"/>
      <c r="J28" s="23"/>
      <c r="K28" s="23"/>
      <c r="L28" s="23"/>
      <c r="N28" s="23"/>
      <c r="O28" s="23"/>
      <c r="P28" s="23"/>
      <c r="Q28" s="23"/>
      <c r="R28" s="23"/>
      <c r="S28" s="23"/>
      <c r="T28" s="23"/>
      <c r="U28" s="51"/>
    </row>
    <row r="29" spans="3:21" x14ac:dyDescent="0.25">
      <c r="C29" s="49"/>
      <c r="D29" s="23"/>
      <c r="E29" s="23"/>
      <c r="F29" s="23"/>
      <c r="G29" s="23"/>
      <c r="H29" s="23"/>
      <c r="I29" s="23"/>
      <c r="J29" s="23"/>
      <c r="K29" s="23"/>
      <c r="L29" s="23"/>
      <c r="N29" s="23"/>
      <c r="O29" s="23"/>
      <c r="P29" s="23"/>
      <c r="Q29" s="23"/>
      <c r="R29" s="23"/>
      <c r="S29" s="23"/>
      <c r="T29" s="23"/>
      <c r="U29" s="51"/>
    </row>
    <row r="30" spans="3:21" x14ac:dyDescent="0.25">
      <c r="C30" s="49"/>
      <c r="D30" s="23"/>
      <c r="E30" s="23"/>
      <c r="F30" s="23"/>
      <c r="G30" s="23"/>
      <c r="H30" s="23"/>
      <c r="I30" s="23"/>
      <c r="J30" s="23"/>
      <c r="K30" s="23"/>
      <c r="L30" s="23"/>
      <c r="N30" s="23"/>
      <c r="O30" s="23"/>
      <c r="P30" s="23"/>
      <c r="Q30" s="23"/>
      <c r="R30" s="23"/>
      <c r="S30" s="23"/>
      <c r="T30" s="23"/>
      <c r="U30" s="51"/>
    </row>
    <row r="31" spans="3:21" x14ac:dyDescent="0.25">
      <c r="C31" s="49"/>
      <c r="D31" s="23"/>
      <c r="E31" s="53" t="s">
        <v>260</v>
      </c>
      <c r="F31" s="23"/>
      <c r="G31" s="23"/>
      <c r="H31" s="23"/>
      <c r="I31" s="23"/>
      <c r="J31" s="23"/>
      <c r="K31" s="23"/>
      <c r="L31" s="23"/>
      <c r="N31" s="23"/>
      <c r="O31" s="23"/>
      <c r="P31" s="23"/>
      <c r="Q31" s="23"/>
      <c r="R31" s="23"/>
      <c r="S31" s="23"/>
      <c r="T31" s="23"/>
      <c r="U31" s="51"/>
    </row>
    <row r="32" spans="3:21" x14ac:dyDescent="0.25">
      <c r="C32" s="49"/>
      <c r="D32" s="23"/>
      <c r="E32" s="53" t="s">
        <v>303</v>
      </c>
      <c r="F32" s="23"/>
      <c r="G32" s="23"/>
      <c r="H32" s="23"/>
      <c r="I32" s="23"/>
      <c r="J32" s="23"/>
      <c r="K32" s="23"/>
      <c r="L32" s="23"/>
      <c r="N32" s="23"/>
      <c r="O32" s="23"/>
      <c r="P32" s="23"/>
      <c r="Q32" s="23"/>
      <c r="R32" s="23"/>
      <c r="S32" s="23"/>
      <c r="T32" s="23"/>
      <c r="U32" s="51"/>
    </row>
    <row r="33" spans="3:21" x14ac:dyDescent="0.25">
      <c r="C33" s="49"/>
      <c r="D33" s="23"/>
      <c r="N33" s="23"/>
      <c r="O33" s="23"/>
      <c r="P33" s="23"/>
      <c r="Q33" s="23"/>
      <c r="R33" s="23"/>
      <c r="S33" s="23"/>
      <c r="T33" s="23"/>
      <c r="U33" s="51"/>
    </row>
    <row r="34" spans="3:21" x14ac:dyDescent="0.25">
      <c r="C34" s="49"/>
      <c r="D34" s="23"/>
      <c r="N34" s="23"/>
      <c r="O34" s="23"/>
      <c r="P34" s="23"/>
      <c r="Q34" s="23"/>
      <c r="R34" s="23"/>
      <c r="S34" s="23"/>
      <c r="T34" s="23"/>
      <c r="U34" s="51"/>
    </row>
    <row r="35" spans="3:21" x14ac:dyDescent="0.25">
      <c r="C35" s="49"/>
      <c r="D35" s="23"/>
      <c r="E35" s="23"/>
      <c r="F35" s="5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51"/>
    </row>
    <row r="36" spans="3:21" x14ac:dyDescent="0.25">
      <c r="C36" s="49"/>
      <c r="D36" s="23"/>
      <c r="E36" s="23"/>
      <c r="F36" s="5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51"/>
    </row>
    <row r="37" spans="3:21" x14ac:dyDescent="0.25">
      <c r="C37" s="49"/>
      <c r="D37" s="23"/>
      <c r="E37" s="23">
        <v>2</v>
      </c>
      <c r="F37" s="23" t="s">
        <v>259</v>
      </c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51"/>
    </row>
    <row r="38" spans="3:21" x14ac:dyDescent="0.25">
      <c r="C38" s="49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51"/>
    </row>
    <row r="39" spans="3:21" ht="18.75" x14ac:dyDescent="0.3">
      <c r="C39" s="49"/>
      <c r="D39" s="23"/>
      <c r="E39" s="23"/>
      <c r="F39" s="50" t="s">
        <v>304</v>
      </c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51"/>
    </row>
    <row r="40" spans="3:21" x14ac:dyDescent="0.25">
      <c r="C40" s="49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51"/>
    </row>
    <row r="41" spans="3:21" x14ac:dyDescent="0.25">
      <c r="C41" s="49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51"/>
    </row>
    <row r="42" spans="3:21" x14ac:dyDescent="0.25">
      <c r="C42" s="49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51"/>
    </row>
    <row r="43" spans="3:21" x14ac:dyDescent="0.25">
      <c r="C43" s="49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51"/>
    </row>
    <row r="44" spans="3:21" x14ac:dyDescent="0.25">
      <c r="C44" s="49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51"/>
    </row>
    <row r="45" spans="3:21" x14ac:dyDescent="0.25">
      <c r="C45" s="49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51"/>
    </row>
    <row r="46" spans="3:21" x14ac:dyDescent="0.25">
      <c r="C46" s="49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51"/>
    </row>
    <row r="47" spans="3:21" x14ac:dyDescent="0.25">
      <c r="C47" s="49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51"/>
    </row>
    <row r="48" spans="3:21" x14ac:dyDescent="0.25">
      <c r="C48" s="49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51"/>
    </row>
    <row r="49" spans="3:21" x14ac:dyDescent="0.25">
      <c r="C49" s="49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51"/>
    </row>
    <row r="50" spans="3:21" x14ac:dyDescent="0.25">
      <c r="C50" s="49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51"/>
    </row>
    <row r="51" spans="3:21" x14ac:dyDescent="0.25">
      <c r="C51" s="49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51"/>
    </row>
    <row r="52" spans="3:21" x14ac:dyDescent="0.25">
      <c r="C52" s="49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51"/>
    </row>
    <row r="53" spans="3:21" x14ac:dyDescent="0.25">
      <c r="C53" s="49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51"/>
    </row>
    <row r="54" spans="3:21" x14ac:dyDescent="0.25">
      <c r="C54" s="49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51"/>
    </row>
    <row r="55" spans="3:21" x14ac:dyDescent="0.25">
      <c r="C55" s="49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51"/>
    </row>
    <row r="56" spans="3:21" x14ac:dyDescent="0.25">
      <c r="C56" s="49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51"/>
    </row>
    <row r="57" spans="3:21" x14ac:dyDescent="0.25">
      <c r="C57" s="49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51"/>
    </row>
    <row r="58" spans="3:21" x14ac:dyDescent="0.25">
      <c r="C58" s="49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51"/>
    </row>
    <row r="59" spans="3:21" x14ac:dyDescent="0.25">
      <c r="C59" s="49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51"/>
    </row>
    <row r="60" spans="3:21" x14ac:dyDescent="0.25">
      <c r="C60" s="49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51"/>
    </row>
    <row r="61" spans="3:21" x14ac:dyDescent="0.25">
      <c r="C61" s="49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51"/>
    </row>
    <row r="62" spans="3:21" x14ac:dyDescent="0.25">
      <c r="C62" s="49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51"/>
    </row>
    <row r="63" spans="3:21" x14ac:dyDescent="0.25">
      <c r="C63" s="49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51"/>
    </row>
    <row r="64" spans="3:21" x14ac:dyDescent="0.25">
      <c r="C64" s="49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51"/>
    </row>
    <row r="65" spans="3:21" x14ac:dyDescent="0.25">
      <c r="C65" s="49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51"/>
    </row>
    <row r="66" spans="3:21" x14ac:dyDescent="0.25">
      <c r="C66" s="49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51"/>
    </row>
    <row r="67" spans="3:21" x14ac:dyDescent="0.25">
      <c r="C67" s="49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51"/>
    </row>
    <row r="68" spans="3:21" x14ac:dyDescent="0.25">
      <c r="C68" s="49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51"/>
    </row>
    <row r="69" spans="3:21" x14ac:dyDescent="0.25">
      <c r="C69" s="49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51"/>
    </row>
    <row r="70" spans="3:21" x14ac:dyDescent="0.25">
      <c r="C70" s="49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51"/>
    </row>
    <row r="71" spans="3:21" x14ac:dyDescent="0.25">
      <c r="C71" s="49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51"/>
    </row>
    <row r="72" spans="3:21" x14ac:dyDescent="0.25">
      <c r="C72" s="49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51"/>
    </row>
    <row r="73" spans="3:21" x14ac:dyDescent="0.25">
      <c r="C73" s="49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51"/>
    </row>
    <row r="74" spans="3:21" x14ac:dyDescent="0.25">
      <c r="C74" s="49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51"/>
    </row>
    <row r="75" spans="3:21" x14ac:dyDescent="0.25">
      <c r="C75" s="49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51"/>
    </row>
    <row r="76" spans="3:21" x14ac:dyDescent="0.25">
      <c r="C76" s="49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51"/>
    </row>
    <row r="77" spans="3:21" x14ac:dyDescent="0.25">
      <c r="C77" s="49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51"/>
    </row>
    <row r="78" spans="3:21" x14ac:dyDescent="0.25">
      <c r="C78" s="49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51"/>
    </row>
    <row r="79" spans="3:21" x14ac:dyDescent="0.25">
      <c r="C79" s="49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51"/>
    </row>
    <row r="80" spans="3:21" x14ac:dyDescent="0.25">
      <c r="C80" s="49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51"/>
    </row>
    <row r="81" spans="3:21" x14ac:dyDescent="0.25">
      <c r="C81" s="49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51"/>
    </row>
    <row r="82" spans="3:21" x14ac:dyDescent="0.25">
      <c r="C82" s="49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51"/>
    </row>
    <row r="83" spans="3:21" x14ac:dyDescent="0.25">
      <c r="C83" s="49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51"/>
    </row>
    <row r="84" spans="3:21" x14ac:dyDescent="0.25">
      <c r="C84" s="49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51"/>
    </row>
    <row r="85" spans="3:21" x14ac:dyDescent="0.25">
      <c r="C85" s="49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51"/>
    </row>
    <row r="86" spans="3:21" x14ac:dyDescent="0.25">
      <c r="C86" s="49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51"/>
    </row>
    <row r="87" spans="3:21" x14ac:dyDescent="0.25">
      <c r="C87" s="49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51"/>
    </row>
    <row r="88" spans="3:21" x14ac:dyDescent="0.25">
      <c r="C88" s="49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51"/>
    </row>
    <row r="89" spans="3:21" x14ac:dyDescent="0.25">
      <c r="C89" s="49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51"/>
    </row>
    <row r="90" spans="3:21" x14ac:dyDescent="0.25">
      <c r="C90" s="49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51"/>
    </row>
    <row r="91" spans="3:21" x14ac:dyDescent="0.25">
      <c r="C91" s="49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51"/>
    </row>
    <row r="92" spans="3:21" x14ac:dyDescent="0.25">
      <c r="C92" s="49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51"/>
    </row>
    <row r="93" spans="3:21" x14ac:dyDescent="0.25">
      <c r="C93" s="49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51"/>
    </row>
    <row r="94" spans="3:21" x14ac:dyDescent="0.25">
      <c r="C94" s="49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51"/>
    </row>
    <row r="95" spans="3:21" x14ac:dyDescent="0.25">
      <c r="C95" s="49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51"/>
    </row>
    <row r="96" spans="3:21" x14ac:dyDescent="0.25">
      <c r="C96" s="49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51"/>
    </row>
    <row r="97" spans="3:21" x14ac:dyDescent="0.25">
      <c r="C97" s="49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51"/>
    </row>
    <row r="98" spans="3:21" x14ac:dyDescent="0.25">
      <c r="C98" s="49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51"/>
    </row>
    <row r="99" spans="3:21" x14ac:dyDescent="0.25">
      <c r="C99" s="49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51"/>
    </row>
    <row r="100" spans="3:21" x14ac:dyDescent="0.25">
      <c r="C100" s="49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51"/>
    </row>
    <row r="101" spans="3:21" x14ac:dyDescent="0.25">
      <c r="C101" s="49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51"/>
    </row>
    <row r="102" spans="3:21" x14ac:dyDescent="0.25">
      <c r="C102" s="49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51"/>
    </row>
    <row r="103" spans="3:21" x14ac:dyDescent="0.25">
      <c r="C103" s="49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51"/>
    </row>
    <row r="104" spans="3:21" x14ac:dyDescent="0.25">
      <c r="C104" s="49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51"/>
    </row>
    <row r="105" spans="3:21" x14ac:dyDescent="0.25">
      <c r="C105" s="49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51"/>
    </row>
    <row r="106" spans="3:21" x14ac:dyDescent="0.25">
      <c r="C106" s="49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51"/>
    </row>
    <row r="107" spans="3:21" x14ac:dyDescent="0.25">
      <c r="C107" s="49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51"/>
    </row>
    <row r="108" spans="3:21" x14ac:dyDescent="0.25">
      <c r="C108" s="49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51"/>
    </row>
    <row r="109" spans="3:21" x14ac:dyDescent="0.25">
      <c r="C109" s="49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51"/>
    </row>
    <row r="110" spans="3:21" x14ac:dyDescent="0.25">
      <c r="C110" s="49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51"/>
    </row>
    <row r="111" spans="3:21" x14ac:dyDescent="0.25">
      <c r="C111" s="49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51"/>
    </row>
    <row r="112" spans="3:21" x14ac:dyDescent="0.25">
      <c r="C112" s="49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51"/>
    </row>
    <row r="113" spans="3:21" x14ac:dyDescent="0.25">
      <c r="C113" s="49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51"/>
    </row>
    <row r="114" spans="3:21" x14ac:dyDescent="0.25">
      <c r="C114" s="49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51"/>
    </row>
    <row r="115" spans="3:21" x14ac:dyDescent="0.25">
      <c r="C115" s="49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51"/>
    </row>
    <row r="116" spans="3:21" x14ac:dyDescent="0.25">
      <c r="C116" s="49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51"/>
    </row>
    <row r="117" spans="3:21" x14ac:dyDescent="0.25">
      <c r="C117" s="49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51"/>
    </row>
    <row r="118" spans="3:21" x14ac:dyDescent="0.25">
      <c r="C118" s="49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51"/>
    </row>
    <row r="119" spans="3:21" x14ac:dyDescent="0.25">
      <c r="C119" s="49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51"/>
    </row>
    <row r="120" spans="3:21" x14ac:dyDescent="0.25">
      <c r="C120" s="49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51"/>
    </row>
    <row r="121" spans="3:21" x14ac:dyDescent="0.25">
      <c r="C121" s="49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51"/>
    </row>
    <row r="122" spans="3:21" x14ac:dyDescent="0.25">
      <c r="C122" s="49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51"/>
    </row>
    <row r="123" spans="3:21" x14ac:dyDescent="0.25">
      <c r="C123" s="49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51"/>
    </row>
    <row r="124" spans="3:21" x14ac:dyDescent="0.25">
      <c r="C124" s="49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51"/>
    </row>
    <row r="125" spans="3:21" x14ac:dyDescent="0.25">
      <c r="C125" s="49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51"/>
    </row>
    <row r="126" spans="3:21" x14ac:dyDescent="0.25">
      <c r="C126" s="49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51"/>
    </row>
    <row r="127" spans="3:21" x14ac:dyDescent="0.25">
      <c r="C127" s="49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51"/>
    </row>
    <row r="128" spans="3:21" x14ac:dyDescent="0.25">
      <c r="C128" s="49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51"/>
    </row>
    <row r="129" spans="3:21" x14ac:dyDescent="0.25">
      <c r="C129" s="49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51"/>
    </row>
    <row r="130" spans="3:21" x14ac:dyDescent="0.25">
      <c r="C130" s="49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51"/>
    </row>
    <row r="131" spans="3:21" x14ac:dyDescent="0.25">
      <c r="C131" s="49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51"/>
    </row>
    <row r="132" spans="3:21" x14ac:dyDescent="0.25">
      <c r="C132" s="49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51"/>
    </row>
    <row r="133" spans="3:21" x14ac:dyDescent="0.25">
      <c r="C133" s="49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51"/>
    </row>
    <row r="134" spans="3:21" x14ac:dyDescent="0.25">
      <c r="C134" s="49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51"/>
    </row>
    <row r="135" spans="3:21" x14ac:dyDescent="0.25">
      <c r="C135" s="49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51"/>
    </row>
    <row r="136" spans="3:21" x14ac:dyDescent="0.25">
      <c r="C136" s="49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51"/>
    </row>
    <row r="137" spans="3:21" x14ac:dyDescent="0.25">
      <c r="C137" s="49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51"/>
    </row>
    <row r="138" spans="3:21" x14ac:dyDescent="0.25">
      <c r="C138" s="49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51"/>
    </row>
    <row r="139" spans="3:21" x14ac:dyDescent="0.25">
      <c r="C139" s="49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51"/>
    </row>
    <row r="140" spans="3:21" x14ac:dyDescent="0.25">
      <c r="C140" s="49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51"/>
    </row>
    <row r="141" spans="3:21" x14ac:dyDescent="0.25">
      <c r="C141" s="49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51"/>
    </row>
    <row r="142" spans="3:21" x14ac:dyDescent="0.25">
      <c r="C142" s="49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51"/>
    </row>
    <row r="143" spans="3:21" x14ac:dyDescent="0.25">
      <c r="C143" s="49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51"/>
    </row>
    <row r="144" spans="3:21" x14ac:dyDescent="0.25">
      <c r="C144" s="49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51"/>
    </row>
    <row r="145" spans="3:21" x14ac:dyDescent="0.25">
      <c r="C145" s="49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51"/>
    </row>
    <row r="146" spans="3:21" x14ac:dyDescent="0.25">
      <c r="C146" s="49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51"/>
    </row>
    <row r="147" spans="3:21" ht="18.75" x14ac:dyDescent="0.3">
      <c r="C147" s="49"/>
      <c r="D147" s="23"/>
      <c r="E147" s="23"/>
      <c r="F147" s="50" t="s">
        <v>258</v>
      </c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51"/>
    </row>
    <row r="148" spans="3:21" x14ac:dyDescent="0.25">
      <c r="C148" s="49"/>
      <c r="D148" s="23"/>
      <c r="E148" s="23"/>
      <c r="F148" s="23" t="s">
        <v>257</v>
      </c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51"/>
    </row>
    <row r="149" spans="3:21" x14ac:dyDescent="0.25">
      <c r="C149" s="49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51"/>
    </row>
    <row r="150" spans="3:21" ht="15.75" x14ac:dyDescent="0.25">
      <c r="C150" s="49"/>
      <c r="D150" s="23"/>
      <c r="E150" s="23"/>
      <c r="F150" s="54" t="s">
        <v>264</v>
      </c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51"/>
    </row>
    <row r="151" spans="3:21" x14ac:dyDescent="0.25">
      <c r="C151" s="49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51"/>
    </row>
    <row r="152" spans="3:21" x14ac:dyDescent="0.25">
      <c r="C152" s="49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51"/>
    </row>
    <row r="153" spans="3:21" x14ac:dyDescent="0.25">
      <c r="C153" s="49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51"/>
    </row>
    <row r="154" spans="3:21" x14ac:dyDescent="0.25">
      <c r="C154" s="49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51"/>
    </row>
    <row r="155" spans="3:21" x14ac:dyDescent="0.25">
      <c r="C155" s="49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51"/>
    </row>
    <row r="156" spans="3:21" x14ac:dyDescent="0.25">
      <c r="C156" s="49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51"/>
    </row>
    <row r="157" spans="3:21" x14ac:dyDescent="0.25">
      <c r="C157" s="49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51"/>
    </row>
    <row r="158" spans="3:21" x14ac:dyDescent="0.25">
      <c r="C158" s="49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51"/>
    </row>
    <row r="159" spans="3:21" x14ac:dyDescent="0.25">
      <c r="C159" s="49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51"/>
    </row>
    <row r="160" spans="3:21" x14ac:dyDescent="0.25">
      <c r="C160" s="49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51"/>
    </row>
    <row r="161" spans="3:21" x14ac:dyDescent="0.25">
      <c r="C161" s="49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51"/>
    </row>
    <row r="162" spans="3:21" x14ac:dyDescent="0.25">
      <c r="C162" s="49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51"/>
    </row>
    <row r="163" spans="3:21" x14ac:dyDescent="0.25">
      <c r="C163" s="49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51"/>
    </row>
    <row r="164" spans="3:21" x14ac:dyDescent="0.25">
      <c r="C164" s="49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51"/>
    </row>
    <row r="165" spans="3:21" x14ac:dyDescent="0.25">
      <c r="C165" s="49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51"/>
    </row>
    <row r="166" spans="3:21" x14ac:dyDescent="0.25">
      <c r="C166" s="49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51"/>
    </row>
    <row r="167" spans="3:21" x14ac:dyDescent="0.25">
      <c r="C167" s="49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51"/>
    </row>
    <row r="168" spans="3:21" x14ac:dyDescent="0.25">
      <c r="C168" s="49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51"/>
    </row>
    <row r="169" spans="3:21" x14ac:dyDescent="0.25">
      <c r="C169" s="49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51"/>
    </row>
    <row r="170" spans="3:21" x14ac:dyDescent="0.25">
      <c r="C170" s="49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51"/>
    </row>
    <row r="171" spans="3:21" x14ac:dyDescent="0.25">
      <c r="C171" s="49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51"/>
    </row>
    <row r="172" spans="3:21" x14ac:dyDescent="0.25">
      <c r="C172" s="49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51"/>
    </row>
    <row r="173" spans="3:21" x14ac:dyDescent="0.25">
      <c r="C173" s="49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51"/>
    </row>
    <row r="174" spans="3:21" x14ac:dyDescent="0.25">
      <c r="C174" s="49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51"/>
    </row>
    <row r="175" spans="3:21" x14ac:dyDescent="0.25">
      <c r="C175" s="49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51"/>
    </row>
    <row r="176" spans="3:21" x14ac:dyDescent="0.25">
      <c r="C176" s="49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51"/>
    </row>
    <row r="177" spans="3:21" x14ac:dyDescent="0.25">
      <c r="C177" s="49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51"/>
    </row>
    <row r="178" spans="3:21" x14ac:dyDescent="0.25">
      <c r="C178" s="49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51"/>
    </row>
    <row r="179" spans="3:21" x14ac:dyDescent="0.25">
      <c r="C179" s="49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51"/>
    </row>
    <row r="180" spans="3:21" x14ac:dyDescent="0.25">
      <c r="C180" s="49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51"/>
    </row>
    <row r="181" spans="3:21" x14ac:dyDescent="0.25">
      <c r="C181" s="49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51"/>
    </row>
    <row r="182" spans="3:21" x14ac:dyDescent="0.25">
      <c r="C182" s="49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51"/>
    </row>
    <row r="183" spans="3:21" x14ac:dyDescent="0.25">
      <c r="C183" s="49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51"/>
    </row>
    <row r="184" spans="3:21" x14ac:dyDescent="0.25">
      <c r="C184" s="49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51"/>
    </row>
    <row r="185" spans="3:21" x14ac:dyDescent="0.25">
      <c r="C185" s="49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51"/>
    </row>
    <row r="186" spans="3:21" x14ac:dyDescent="0.25">
      <c r="C186" s="49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51"/>
    </row>
    <row r="187" spans="3:21" ht="15.75" x14ac:dyDescent="0.25">
      <c r="C187" s="49"/>
      <c r="D187" s="23"/>
      <c r="E187" s="23"/>
      <c r="F187" s="54" t="s">
        <v>262</v>
      </c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51"/>
    </row>
    <row r="188" spans="3:21" x14ac:dyDescent="0.25">
      <c r="C188" s="49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51"/>
    </row>
    <row r="189" spans="3:21" x14ac:dyDescent="0.25">
      <c r="C189" s="49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51"/>
    </row>
    <row r="190" spans="3:21" x14ac:dyDescent="0.25">
      <c r="C190" s="49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51"/>
    </row>
    <row r="191" spans="3:21" x14ac:dyDescent="0.25">
      <c r="C191" s="49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51"/>
    </row>
    <row r="192" spans="3:21" x14ac:dyDescent="0.25">
      <c r="C192" s="49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51"/>
    </row>
    <row r="193" spans="3:21" x14ac:dyDescent="0.25">
      <c r="C193" s="49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51"/>
    </row>
    <row r="194" spans="3:21" x14ac:dyDescent="0.25">
      <c r="C194" s="49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51"/>
    </row>
    <row r="195" spans="3:21" x14ac:dyDescent="0.25">
      <c r="C195" s="49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51"/>
    </row>
    <row r="196" spans="3:21" x14ac:dyDescent="0.25">
      <c r="C196" s="49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51"/>
    </row>
    <row r="197" spans="3:21" x14ac:dyDescent="0.25">
      <c r="C197" s="49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51"/>
    </row>
    <row r="198" spans="3:21" x14ac:dyDescent="0.25">
      <c r="C198" s="49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51"/>
    </row>
    <row r="199" spans="3:21" x14ac:dyDescent="0.25">
      <c r="C199" s="49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51"/>
    </row>
    <row r="200" spans="3:21" x14ac:dyDescent="0.25">
      <c r="C200" s="49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51"/>
    </row>
    <row r="201" spans="3:21" x14ac:dyDescent="0.25">
      <c r="C201" s="49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51"/>
    </row>
    <row r="202" spans="3:21" x14ac:dyDescent="0.25">
      <c r="C202" s="49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51"/>
    </row>
    <row r="203" spans="3:21" x14ac:dyDescent="0.25">
      <c r="C203" s="49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51"/>
    </row>
    <row r="204" spans="3:21" x14ac:dyDescent="0.25">
      <c r="C204" s="49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51"/>
    </row>
    <row r="205" spans="3:21" x14ac:dyDescent="0.25">
      <c r="C205" s="49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51"/>
    </row>
    <row r="206" spans="3:21" x14ac:dyDescent="0.25">
      <c r="C206" s="49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51"/>
    </row>
    <row r="207" spans="3:21" x14ac:dyDescent="0.25">
      <c r="C207" s="49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51"/>
    </row>
    <row r="208" spans="3:21" x14ac:dyDescent="0.25">
      <c r="C208" s="49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51"/>
    </row>
    <row r="209" spans="3:21" x14ac:dyDescent="0.25">
      <c r="C209" s="49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51"/>
    </row>
    <row r="210" spans="3:21" x14ac:dyDescent="0.25">
      <c r="C210" s="49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51"/>
    </row>
    <row r="211" spans="3:21" x14ac:dyDescent="0.25">
      <c r="C211" s="49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51"/>
    </row>
    <row r="212" spans="3:21" x14ac:dyDescent="0.25">
      <c r="C212" s="49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51"/>
    </row>
    <row r="213" spans="3:21" x14ac:dyDescent="0.25">
      <c r="C213" s="49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51"/>
    </row>
    <row r="214" spans="3:21" ht="15.75" x14ac:dyDescent="0.25">
      <c r="C214" s="49"/>
      <c r="D214" s="23"/>
      <c r="E214" s="23"/>
      <c r="F214" s="54" t="s">
        <v>265</v>
      </c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51"/>
    </row>
    <row r="215" spans="3:21" x14ac:dyDescent="0.25">
      <c r="C215" s="49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51"/>
    </row>
    <row r="216" spans="3:21" x14ac:dyDescent="0.25">
      <c r="C216" s="49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51"/>
    </row>
    <row r="217" spans="3:21" x14ac:dyDescent="0.25">
      <c r="C217" s="49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51"/>
    </row>
    <row r="218" spans="3:21" x14ac:dyDescent="0.25">
      <c r="C218" s="49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51"/>
    </row>
    <row r="219" spans="3:21" x14ac:dyDescent="0.25">
      <c r="C219" s="49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51"/>
    </row>
    <row r="220" spans="3:21" x14ac:dyDescent="0.25">
      <c r="C220" s="49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51"/>
    </row>
    <row r="221" spans="3:21" x14ac:dyDescent="0.25">
      <c r="C221" s="49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51"/>
    </row>
    <row r="222" spans="3:21" x14ac:dyDescent="0.25">
      <c r="C222" s="49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51"/>
    </row>
    <row r="223" spans="3:21" x14ac:dyDescent="0.25">
      <c r="C223" s="49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51"/>
    </row>
    <row r="224" spans="3:21" x14ac:dyDescent="0.25">
      <c r="C224" s="49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51"/>
    </row>
    <row r="225" spans="3:21" x14ac:dyDescent="0.25">
      <c r="C225" s="49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51"/>
    </row>
    <row r="226" spans="3:21" x14ac:dyDescent="0.25">
      <c r="C226" s="49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51"/>
    </row>
    <row r="227" spans="3:21" x14ac:dyDescent="0.25">
      <c r="C227" s="49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51"/>
    </row>
    <row r="228" spans="3:21" x14ac:dyDescent="0.25">
      <c r="C228" s="49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51"/>
    </row>
    <row r="229" spans="3:21" x14ac:dyDescent="0.25">
      <c r="C229" s="49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51"/>
    </row>
    <row r="230" spans="3:21" x14ac:dyDescent="0.25">
      <c r="C230" s="49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51"/>
    </row>
    <row r="231" spans="3:21" x14ac:dyDescent="0.25">
      <c r="C231" s="49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51"/>
    </row>
    <row r="232" spans="3:21" x14ac:dyDescent="0.25">
      <c r="C232" s="49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51"/>
    </row>
    <row r="233" spans="3:21" x14ac:dyDescent="0.25">
      <c r="C233" s="49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51"/>
    </row>
    <row r="234" spans="3:21" x14ac:dyDescent="0.25">
      <c r="C234" s="49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51"/>
    </row>
    <row r="235" spans="3:21" x14ac:dyDescent="0.25">
      <c r="C235" s="49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51"/>
    </row>
    <row r="236" spans="3:21" x14ac:dyDescent="0.25">
      <c r="C236" s="49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51"/>
    </row>
    <row r="237" spans="3:21" x14ac:dyDescent="0.25">
      <c r="C237" s="49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51"/>
    </row>
    <row r="238" spans="3:21" x14ac:dyDescent="0.25">
      <c r="C238" s="49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51"/>
    </row>
    <row r="239" spans="3:21" x14ac:dyDescent="0.25">
      <c r="C239" s="49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51"/>
    </row>
    <row r="240" spans="3:21" x14ac:dyDescent="0.25">
      <c r="C240" s="49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51"/>
    </row>
    <row r="241" spans="3:21" x14ac:dyDescent="0.25">
      <c r="C241" s="49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51"/>
    </row>
    <row r="242" spans="3:21" ht="15.75" x14ac:dyDescent="0.25">
      <c r="C242" s="49"/>
      <c r="D242" s="23"/>
      <c r="E242" s="23"/>
      <c r="F242" s="54" t="s">
        <v>263</v>
      </c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51"/>
    </row>
    <row r="243" spans="3:21" x14ac:dyDescent="0.25">
      <c r="C243" s="49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51"/>
    </row>
    <row r="244" spans="3:21" x14ac:dyDescent="0.25">
      <c r="C244" s="49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51"/>
    </row>
    <row r="245" spans="3:21" x14ac:dyDescent="0.25">
      <c r="C245" s="49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51"/>
    </row>
    <row r="246" spans="3:21" x14ac:dyDescent="0.25">
      <c r="C246" s="49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51"/>
    </row>
    <row r="247" spans="3:21" x14ac:dyDescent="0.25">
      <c r="C247" s="49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51"/>
    </row>
    <row r="248" spans="3:21" x14ac:dyDescent="0.25">
      <c r="C248" s="49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51"/>
    </row>
    <row r="249" spans="3:21" x14ac:dyDescent="0.25">
      <c r="C249" s="49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51"/>
    </row>
    <row r="250" spans="3:21" x14ac:dyDescent="0.25">
      <c r="C250" s="49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51"/>
    </row>
    <row r="251" spans="3:21" x14ac:dyDescent="0.25">
      <c r="C251" s="49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51"/>
    </row>
    <row r="252" spans="3:21" x14ac:dyDescent="0.25">
      <c r="C252" s="49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51"/>
    </row>
    <row r="253" spans="3:21" x14ac:dyDescent="0.25">
      <c r="C253" s="49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51"/>
    </row>
    <row r="254" spans="3:21" x14ac:dyDescent="0.25">
      <c r="C254" s="49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51"/>
    </row>
    <row r="255" spans="3:21" x14ac:dyDescent="0.25">
      <c r="C255" s="49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51"/>
    </row>
    <row r="256" spans="3:21" x14ac:dyDescent="0.25">
      <c r="C256" s="49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51"/>
    </row>
    <row r="257" spans="3:21" x14ac:dyDescent="0.25">
      <c r="C257" s="49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51"/>
    </row>
    <row r="258" spans="3:21" x14ac:dyDescent="0.25">
      <c r="C258" s="49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51"/>
    </row>
    <row r="259" spans="3:21" x14ac:dyDescent="0.25">
      <c r="C259" s="49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51"/>
    </row>
    <row r="260" spans="3:21" x14ac:dyDescent="0.25">
      <c r="C260" s="49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51"/>
    </row>
    <row r="261" spans="3:21" x14ac:dyDescent="0.25">
      <c r="C261" s="49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51"/>
    </row>
    <row r="262" spans="3:21" x14ac:dyDescent="0.25">
      <c r="C262" s="49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51"/>
    </row>
    <row r="263" spans="3:21" x14ac:dyDescent="0.25">
      <c r="C263" s="49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51"/>
    </row>
    <row r="264" spans="3:21" x14ac:dyDescent="0.25">
      <c r="C264" s="49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51"/>
    </row>
    <row r="265" spans="3:21" x14ac:dyDescent="0.25">
      <c r="C265" s="49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51"/>
    </row>
    <row r="266" spans="3:21" x14ac:dyDescent="0.25">
      <c r="C266" s="49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51"/>
    </row>
    <row r="267" spans="3:21" x14ac:dyDescent="0.25">
      <c r="C267" s="49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51"/>
    </row>
    <row r="268" spans="3:21" x14ac:dyDescent="0.25">
      <c r="C268" s="49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51"/>
    </row>
    <row r="269" spans="3:21" ht="15.75" x14ac:dyDescent="0.25">
      <c r="C269" s="49"/>
      <c r="D269" s="23"/>
      <c r="E269" s="23"/>
      <c r="F269" s="54" t="s">
        <v>266</v>
      </c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51"/>
    </row>
    <row r="270" spans="3:21" x14ac:dyDescent="0.25">
      <c r="C270" s="49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51"/>
    </row>
    <row r="271" spans="3:21" x14ac:dyDescent="0.25">
      <c r="C271" s="49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51"/>
    </row>
    <row r="272" spans="3:21" x14ac:dyDescent="0.25">
      <c r="C272" s="49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51"/>
    </row>
    <row r="273" spans="3:21" x14ac:dyDescent="0.25">
      <c r="C273" s="49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51"/>
    </row>
    <row r="274" spans="3:21" x14ac:dyDescent="0.25">
      <c r="C274" s="49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51"/>
    </row>
    <row r="275" spans="3:21" x14ac:dyDescent="0.25">
      <c r="C275" s="49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51"/>
    </row>
    <row r="276" spans="3:21" x14ac:dyDescent="0.25">
      <c r="C276" s="49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51"/>
    </row>
    <row r="277" spans="3:21" x14ac:dyDescent="0.25">
      <c r="C277" s="49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51"/>
    </row>
    <row r="278" spans="3:21" x14ac:dyDescent="0.25">
      <c r="C278" s="49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51"/>
    </row>
    <row r="279" spans="3:21" x14ac:dyDescent="0.25">
      <c r="C279" s="49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51"/>
    </row>
    <row r="280" spans="3:21" x14ac:dyDescent="0.25">
      <c r="C280" s="49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51"/>
    </row>
    <row r="281" spans="3:21" x14ac:dyDescent="0.25">
      <c r="C281" s="49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51"/>
    </row>
    <row r="282" spans="3:21" x14ac:dyDescent="0.25">
      <c r="C282" s="49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51"/>
    </row>
    <row r="283" spans="3:21" x14ac:dyDescent="0.25">
      <c r="C283" s="49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51"/>
    </row>
    <row r="284" spans="3:21" x14ac:dyDescent="0.25">
      <c r="C284" s="49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51"/>
    </row>
    <row r="285" spans="3:21" x14ac:dyDescent="0.25">
      <c r="C285" s="49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51"/>
    </row>
    <row r="286" spans="3:21" x14ac:dyDescent="0.25">
      <c r="C286" s="49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51"/>
    </row>
    <row r="287" spans="3:21" x14ac:dyDescent="0.25">
      <c r="C287" s="49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51"/>
    </row>
    <row r="288" spans="3:21" x14ac:dyDescent="0.25">
      <c r="C288" s="49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51"/>
    </row>
    <row r="289" spans="3:21" x14ac:dyDescent="0.25">
      <c r="C289" s="49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51"/>
    </row>
    <row r="290" spans="3:21" x14ac:dyDescent="0.25">
      <c r="C290" s="49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51"/>
    </row>
    <row r="291" spans="3:21" x14ac:dyDescent="0.25">
      <c r="C291" s="49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51"/>
    </row>
    <row r="292" spans="3:21" x14ac:dyDescent="0.25">
      <c r="C292" s="49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51"/>
    </row>
    <row r="293" spans="3:21" x14ac:dyDescent="0.25">
      <c r="C293" s="49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51"/>
    </row>
    <row r="294" spans="3:21" x14ac:dyDescent="0.25">
      <c r="C294" s="49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51"/>
    </row>
    <row r="295" spans="3:21" x14ac:dyDescent="0.25">
      <c r="C295" s="49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51"/>
    </row>
    <row r="296" spans="3:21" x14ac:dyDescent="0.25">
      <c r="C296" s="49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51"/>
    </row>
    <row r="297" spans="3:21" ht="15.75" x14ac:dyDescent="0.25">
      <c r="C297" s="49"/>
      <c r="D297" s="23"/>
      <c r="E297" s="23"/>
      <c r="F297" s="54" t="s">
        <v>267</v>
      </c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51"/>
    </row>
    <row r="298" spans="3:21" x14ac:dyDescent="0.25">
      <c r="C298" s="49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51"/>
    </row>
    <row r="299" spans="3:21" x14ac:dyDescent="0.25">
      <c r="C299" s="49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51"/>
    </row>
    <row r="300" spans="3:21" x14ac:dyDescent="0.25">
      <c r="C300" s="49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51"/>
    </row>
    <row r="301" spans="3:21" x14ac:dyDescent="0.25">
      <c r="C301" s="49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51"/>
    </row>
    <row r="302" spans="3:21" x14ac:dyDescent="0.25">
      <c r="C302" s="49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51"/>
    </row>
    <row r="303" spans="3:21" x14ac:dyDescent="0.25">
      <c r="C303" s="49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51"/>
    </row>
    <row r="304" spans="3:21" x14ac:dyDescent="0.25">
      <c r="C304" s="49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51"/>
    </row>
    <row r="305" spans="3:21" x14ac:dyDescent="0.25">
      <c r="C305" s="49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51"/>
    </row>
    <row r="306" spans="3:21" x14ac:dyDescent="0.25">
      <c r="C306" s="49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51"/>
    </row>
    <row r="307" spans="3:21" x14ac:dyDescent="0.25">
      <c r="C307" s="49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51"/>
    </row>
    <row r="308" spans="3:21" x14ac:dyDescent="0.25">
      <c r="C308" s="49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51"/>
    </row>
    <row r="309" spans="3:21" x14ac:dyDescent="0.25">
      <c r="C309" s="49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51"/>
    </row>
    <row r="310" spans="3:21" x14ac:dyDescent="0.25">
      <c r="C310" s="49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51"/>
    </row>
    <row r="311" spans="3:21" x14ac:dyDescent="0.25">
      <c r="C311" s="49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51"/>
    </row>
    <row r="312" spans="3:21" x14ac:dyDescent="0.25">
      <c r="C312" s="49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51"/>
    </row>
    <row r="313" spans="3:21" x14ac:dyDescent="0.25">
      <c r="C313" s="49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51"/>
    </row>
    <row r="314" spans="3:21" x14ac:dyDescent="0.25">
      <c r="C314" s="49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51"/>
    </row>
    <row r="315" spans="3:21" x14ac:dyDescent="0.25">
      <c r="C315" s="49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51"/>
    </row>
    <row r="316" spans="3:21" x14ac:dyDescent="0.25">
      <c r="C316" s="49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51"/>
    </row>
    <row r="317" spans="3:21" x14ac:dyDescent="0.25">
      <c r="C317" s="49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51"/>
    </row>
    <row r="318" spans="3:21" x14ac:dyDescent="0.25">
      <c r="C318" s="49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51"/>
    </row>
    <row r="319" spans="3:21" x14ac:dyDescent="0.25">
      <c r="C319" s="49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51"/>
    </row>
    <row r="320" spans="3:21" x14ac:dyDescent="0.25">
      <c r="C320" s="49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51"/>
    </row>
    <row r="321" spans="3:21" x14ac:dyDescent="0.25">
      <c r="C321" s="49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51"/>
    </row>
    <row r="322" spans="3:21" x14ac:dyDescent="0.25">
      <c r="C322" s="49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51"/>
    </row>
    <row r="323" spans="3:21" ht="15.75" x14ac:dyDescent="0.25">
      <c r="C323" s="49"/>
      <c r="D323" s="23"/>
      <c r="E323" s="23"/>
      <c r="F323" s="54" t="s">
        <v>268</v>
      </c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51"/>
    </row>
    <row r="324" spans="3:21" x14ac:dyDescent="0.25">
      <c r="C324" s="49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51"/>
    </row>
    <row r="325" spans="3:21" x14ac:dyDescent="0.25">
      <c r="C325" s="49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51"/>
    </row>
    <row r="326" spans="3:21" x14ac:dyDescent="0.25">
      <c r="C326" s="49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51"/>
    </row>
    <row r="327" spans="3:21" x14ac:dyDescent="0.25">
      <c r="C327" s="49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51"/>
    </row>
    <row r="328" spans="3:21" x14ac:dyDescent="0.25">
      <c r="C328" s="49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51"/>
    </row>
    <row r="329" spans="3:21" x14ac:dyDescent="0.25">
      <c r="C329" s="49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51"/>
    </row>
    <row r="330" spans="3:21" x14ac:dyDescent="0.25">
      <c r="C330" s="49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51"/>
    </row>
    <row r="331" spans="3:21" x14ac:dyDescent="0.25">
      <c r="C331" s="49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51"/>
    </row>
    <row r="332" spans="3:21" x14ac:dyDescent="0.25">
      <c r="C332" s="49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51"/>
    </row>
    <row r="333" spans="3:21" x14ac:dyDescent="0.25">
      <c r="C333" s="49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51"/>
    </row>
    <row r="334" spans="3:21" x14ac:dyDescent="0.25">
      <c r="C334" s="49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51"/>
    </row>
    <row r="335" spans="3:21" x14ac:dyDescent="0.25">
      <c r="C335" s="49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51"/>
    </row>
    <row r="336" spans="3:21" x14ac:dyDescent="0.25">
      <c r="C336" s="49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51"/>
    </row>
    <row r="337" spans="3:21" x14ac:dyDescent="0.25">
      <c r="C337" s="49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51"/>
    </row>
    <row r="338" spans="3:21" x14ac:dyDescent="0.25">
      <c r="C338" s="49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51"/>
    </row>
    <row r="339" spans="3:21" x14ac:dyDescent="0.25">
      <c r="C339" s="49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51"/>
    </row>
    <row r="340" spans="3:21" x14ac:dyDescent="0.25">
      <c r="C340" s="49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51"/>
    </row>
    <row r="341" spans="3:21" x14ac:dyDescent="0.25">
      <c r="C341" s="49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51"/>
    </row>
    <row r="342" spans="3:21" x14ac:dyDescent="0.25">
      <c r="C342" s="49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51"/>
    </row>
    <row r="343" spans="3:21" x14ac:dyDescent="0.25">
      <c r="C343" s="49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51"/>
    </row>
    <row r="344" spans="3:21" x14ac:dyDescent="0.25">
      <c r="C344" s="49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51"/>
    </row>
    <row r="345" spans="3:21" x14ac:dyDescent="0.25">
      <c r="C345" s="49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51"/>
    </row>
    <row r="346" spans="3:21" x14ac:dyDescent="0.25">
      <c r="C346" s="49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51"/>
    </row>
    <row r="347" spans="3:21" x14ac:dyDescent="0.25">
      <c r="C347" s="49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51"/>
    </row>
    <row r="348" spans="3:21" x14ac:dyDescent="0.25">
      <c r="C348" s="49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51"/>
    </row>
    <row r="349" spans="3:21" x14ac:dyDescent="0.25">
      <c r="C349" s="49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51"/>
    </row>
    <row r="350" spans="3:21" ht="15.75" x14ac:dyDescent="0.25">
      <c r="C350" s="49"/>
      <c r="D350" s="23"/>
      <c r="E350" s="23"/>
      <c r="F350" s="54" t="s">
        <v>269</v>
      </c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51"/>
    </row>
    <row r="351" spans="3:21" x14ac:dyDescent="0.25">
      <c r="C351" s="49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51"/>
    </row>
    <row r="352" spans="3:21" x14ac:dyDescent="0.25">
      <c r="C352" s="49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51"/>
    </row>
    <row r="353" spans="3:21" x14ac:dyDescent="0.25">
      <c r="C353" s="49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51"/>
    </row>
    <row r="354" spans="3:21" x14ac:dyDescent="0.25">
      <c r="C354" s="49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51"/>
    </row>
    <row r="355" spans="3:21" x14ac:dyDescent="0.25">
      <c r="C355" s="49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51"/>
    </row>
    <row r="356" spans="3:21" x14ac:dyDescent="0.25">
      <c r="C356" s="49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51"/>
    </row>
    <row r="357" spans="3:21" x14ac:dyDescent="0.25">
      <c r="C357" s="49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51"/>
    </row>
    <row r="358" spans="3:21" x14ac:dyDescent="0.25">
      <c r="C358" s="49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51"/>
    </row>
    <row r="359" spans="3:21" x14ac:dyDescent="0.25">
      <c r="C359" s="49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51"/>
    </row>
    <row r="360" spans="3:21" x14ac:dyDescent="0.25">
      <c r="C360" s="49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51"/>
    </row>
    <row r="361" spans="3:21" x14ac:dyDescent="0.25">
      <c r="C361" s="49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51"/>
    </row>
    <row r="362" spans="3:21" x14ac:dyDescent="0.25">
      <c r="C362" s="49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51"/>
    </row>
    <row r="363" spans="3:21" x14ac:dyDescent="0.25">
      <c r="C363" s="49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51"/>
    </row>
    <row r="364" spans="3:21" x14ac:dyDescent="0.25">
      <c r="C364" s="49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51"/>
    </row>
    <row r="365" spans="3:21" x14ac:dyDescent="0.25">
      <c r="C365" s="49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51"/>
    </row>
    <row r="366" spans="3:21" x14ac:dyDescent="0.25">
      <c r="C366" s="49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51"/>
    </row>
    <row r="367" spans="3:21" x14ac:dyDescent="0.25">
      <c r="C367" s="49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51"/>
    </row>
    <row r="368" spans="3:21" x14ac:dyDescent="0.25">
      <c r="C368" s="49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51"/>
    </row>
    <row r="369" spans="3:21" x14ac:dyDescent="0.25">
      <c r="C369" s="49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51"/>
    </row>
    <row r="370" spans="3:21" x14ac:dyDescent="0.25">
      <c r="C370" s="49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51"/>
    </row>
    <row r="371" spans="3:21" x14ac:dyDescent="0.25">
      <c r="C371" s="49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51"/>
    </row>
    <row r="372" spans="3:21" x14ac:dyDescent="0.25">
      <c r="C372" s="49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51"/>
    </row>
    <row r="373" spans="3:21" x14ac:dyDescent="0.25">
      <c r="C373" s="49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51"/>
    </row>
    <row r="374" spans="3:21" x14ac:dyDescent="0.25">
      <c r="C374" s="49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51"/>
    </row>
    <row r="375" spans="3:21" x14ac:dyDescent="0.25">
      <c r="C375" s="49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51"/>
    </row>
    <row r="376" spans="3:21" x14ac:dyDescent="0.25">
      <c r="C376" s="49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51"/>
    </row>
    <row r="377" spans="3:21" x14ac:dyDescent="0.25">
      <c r="C377" s="49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51"/>
    </row>
    <row r="378" spans="3:21" x14ac:dyDescent="0.25">
      <c r="C378" s="49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51"/>
    </row>
    <row r="379" spans="3:21" x14ac:dyDescent="0.25">
      <c r="C379" s="49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51"/>
    </row>
    <row r="380" spans="3:21" x14ac:dyDescent="0.25">
      <c r="C380" s="49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51"/>
    </row>
    <row r="381" spans="3:21" x14ac:dyDescent="0.25">
      <c r="C381" s="49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51"/>
    </row>
    <row r="382" spans="3:21" x14ac:dyDescent="0.25">
      <c r="C382" s="49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51"/>
    </row>
    <row r="383" spans="3:21" x14ac:dyDescent="0.25">
      <c r="C383" s="49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51"/>
    </row>
    <row r="384" spans="3:21" x14ac:dyDescent="0.25">
      <c r="C384" s="49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51"/>
    </row>
    <row r="385" spans="3:21" x14ac:dyDescent="0.25">
      <c r="C385" s="49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51"/>
    </row>
    <row r="386" spans="3:21" x14ac:dyDescent="0.25">
      <c r="C386" s="49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51"/>
    </row>
    <row r="387" spans="3:21" x14ac:dyDescent="0.25">
      <c r="C387" s="49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51"/>
    </row>
    <row r="388" spans="3:21" x14ac:dyDescent="0.25">
      <c r="C388" s="49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51"/>
    </row>
    <row r="389" spans="3:21" x14ac:dyDescent="0.25">
      <c r="C389" s="49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51"/>
    </row>
    <row r="390" spans="3:21" x14ac:dyDescent="0.25">
      <c r="C390" s="49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51"/>
    </row>
    <row r="391" spans="3:21" x14ac:dyDescent="0.25">
      <c r="C391" s="49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51"/>
    </row>
    <row r="392" spans="3:21" x14ac:dyDescent="0.25">
      <c r="C392" s="49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51"/>
    </row>
    <row r="393" spans="3:21" x14ac:dyDescent="0.25">
      <c r="C393" s="49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51"/>
    </row>
    <row r="394" spans="3:21" x14ac:dyDescent="0.25">
      <c r="C394" s="49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51"/>
    </row>
    <row r="395" spans="3:21" x14ac:dyDescent="0.25">
      <c r="C395" s="49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51"/>
    </row>
    <row r="396" spans="3:21" x14ac:dyDescent="0.25">
      <c r="C396" s="49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51"/>
    </row>
    <row r="397" spans="3:21" x14ac:dyDescent="0.25">
      <c r="C397" s="49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51"/>
    </row>
    <row r="398" spans="3:21" x14ac:dyDescent="0.25">
      <c r="C398" s="49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51"/>
    </row>
    <row r="399" spans="3:21" x14ac:dyDescent="0.25">
      <c r="C399" s="49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51"/>
    </row>
    <row r="400" spans="3:21" x14ac:dyDescent="0.25">
      <c r="C400" s="49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51"/>
    </row>
    <row r="401" spans="3:21" x14ac:dyDescent="0.25">
      <c r="C401" s="49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51"/>
    </row>
    <row r="402" spans="3:21" x14ac:dyDescent="0.25">
      <c r="C402" s="49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51"/>
    </row>
    <row r="403" spans="3:21" x14ac:dyDescent="0.25">
      <c r="C403" s="49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51"/>
    </row>
    <row r="404" spans="3:21" x14ac:dyDescent="0.25">
      <c r="C404" s="49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51"/>
    </row>
    <row r="405" spans="3:21" x14ac:dyDescent="0.25">
      <c r="C405" s="49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51"/>
    </row>
    <row r="406" spans="3:21" x14ac:dyDescent="0.25">
      <c r="C406" s="49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51"/>
    </row>
    <row r="407" spans="3:21" x14ac:dyDescent="0.25">
      <c r="C407" s="49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51"/>
    </row>
    <row r="408" spans="3:21" x14ac:dyDescent="0.25">
      <c r="C408" s="49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51"/>
    </row>
    <row r="409" spans="3:21" x14ac:dyDescent="0.25">
      <c r="C409" s="49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51"/>
    </row>
    <row r="410" spans="3:21" x14ac:dyDescent="0.25">
      <c r="C410" s="49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51"/>
    </row>
    <row r="411" spans="3:21" x14ac:dyDescent="0.25">
      <c r="C411" s="49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51"/>
    </row>
    <row r="412" spans="3:21" x14ac:dyDescent="0.25">
      <c r="C412" s="49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51"/>
    </row>
    <row r="413" spans="3:21" x14ac:dyDescent="0.25">
      <c r="C413" s="49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51"/>
    </row>
    <row r="414" spans="3:21" x14ac:dyDescent="0.25">
      <c r="C414" s="49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51"/>
    </row>
    <row r="415" spans="3:21" x14ac:dyDescent="0.25">
      <c r="C415" s="49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51"/>
    </row>
    <row r="416" spans="3:21" x14ac:dyDescent="0.25">
      <c r="C416" s="49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51"/>
    </row>
    <row r="417" spans="3:21" x14ac:dyDescent="0.25">
      <c r="C417" s="49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51"/>
    </row>
    <row r="418" spans="3:21" x14ac:dyDescent="0.25">
      <c r="C418" s="49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51"/>
    </row>
    <row r="419" spans="3:21" x14ac:dyDescent="0.25">
      <c r="C419" s="49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51"/>
    </row>
    <row r="420" spans="3:21" x14ac:dyDescent="0.25">
      <c r="C420" s="49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51"/>
    </row>
    <row r="421" spans="3:21" x14ac:dyDescent="0.25">
      <c r="C421" s="49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51"/>
    </row>
    <row r="422" spans="3:21" x14ac:dyDescent="0.25">
      <c r="C422" s="49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51"/>
    </row>
    <row r="423" spans="3:21" x14ac:dyDescent="0.25">
      <c r="C423" s="49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51"/>
    </row>
    <row r="424" spans="3:21" x14ac:dyDescent="0.25">
      <c r="C424" s="49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51"/>
    </row>
    <row r="425" spans="3:21" x14ac:dyDescent="0.25">
      <c r="C425" s="49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51"/>
    </row>
    <row r="426" spans="3:21" x14ac:dyDescent="0.25">
      <c r="C426" s="49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51"/>
    </row>
    <row r="427" spans="3:21" x14ac:dyDescent="0.25">
      <c r="C427" s="49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51"/>
    </row>
    <row r="428" spans="3:21" x14ac:dyDescent="0.25">
      <c r="C428" s="49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51"/>
    </row>
    <row r="429" spans="3:21" x14ac:dyDescent="0.25">
      <c r="C429" s="49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51"/>
    </row>
    <row r="430" spans="3:21" x14ac:dyDescent="0.25">
      <c r="C430" s="49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51"/>
    </row>
    <row r="431" spans="3:21" x14ac:dyDescent="0.25">
      <c r="C431" s="49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51"/>
    </row>
    <row r="432" spans="3:21" x14ac:dyDescent="0.25">
      <c r="C432" s="49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51"/>
    </row>
    <row r="433" spans="3:21" x14ac:dyDescent="0.25">
      <c r="C433" s="49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51"/>
    </row>
    <row r="434" spans="3:21" ht="15.75" x14ac:dyDescent="0.25">
      <c r="C434" s="49"/>
      <c r="D434" s="23"/>
      <c r="E434" s="23"/>
      <c r="F434" s="54" t="s">
        <v>270</v>
      </c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51"/>
    </row>
    <row r="435" spans="3:21" x14ac:dyDescent="0.25">
      <c r="C435" s="49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51"/>
    </row>
    <row r="436" spans="3:21" x14ac:dyDescent="0.25">
      <c r="C436" s="49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51"/>
    </row>
    <row r="437" spans="3:21" x14ac:dyDescent="0.25">
      <c r="C437" s="49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51"/>
    </row>
    <row r="438" spans="3:21" x14ac:dyDescent="0.25">
      <c r="C438" s="49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51"/>
    </row>
    <row r="439" spans="3:21" x14ac:dyDescent="0.25">
      <c r="C439" s="49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51"/>
    </row>
    <row r="440" spans="3:21" x14ac:dyDescent="0.25">
      <c r="C440" s="49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51"/>
    </row>
    <row r="441" spans="3:21" x14ac:dyDescent="0.25">
      <c r="C441" s="49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51"/>
    </row>
    <row r="442" spans="3:21" x14ac:dyDescent="0.25">
      <c r="C442" s="49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51"/>
    </row>
    <row r="443" spans="3:21" x14ac:dyDescent="0.25">
      <c r="C443" s="49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51"/>
    </row>
    <row r="444" spans="3:21" x14ac:dyDescent="0.25">
      <c r="C444" s="49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51"/>
    </row>
    <row r="445" spans="3:21" x14ac:dyDescent="0.25">
      <c r="C445" s="49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51"/>
    </row>
    <row r="446" spans="3:21" x14ac:dyDescent="0.25">
      <c r="C446" s="49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51"/>
    </row>
    <row r="447" spans="3:21" x14ac:dyDescent="0.25">
      <c r="C447" s="49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51"/>
    </row>
    <row r="448" spans="3:21" x14ac:dyDescent="0.25">
      <c r="C448" s="49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51"/>
    </row>
    <row r="449" spans="3:21" x14ac:dyDescent="0.25">
      <c r="C449" s="49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51"/>
    </row>
    <row r="450" spans="3:21" x14ac:dyDescent="0.25">
      <c r="C450" s="49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51"/>
    </row>
    <row r="451" spans="3:21" x14ac:dyDescent="0.25">
      <c r="C451" s="49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51"/>
    </row>
    <row r="452" spans="3:21" x14ac:dyDescent="0.25">
      <c r="C452" s="49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51"/>
    </row>
    <row r="453" spans="3:21" x14ac:dyDescent="0.25">
      <c r="C453" s="49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51"/>
    </row>
    <row r="454" spans="3:21" x14ac:dyDescent="0.25">
      <c r="C454" s="49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51"/>
    </row>
    <row r="455" spans="3:21" x14ac:dyDescent="0.25">
      <c r="C455" s="49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51"/>
    </row>
    <row r="456" spans="3:21" x14ac:dyDescent="0.25">
      <c r="C456" s="49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51"/>
    </row>
    <row r="457" spans="3:21" x14ac:dyDescent="0.25">
      <c r="C457" s="49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51"/>
    </row>
    <row r="458" spans="3:21" x14ac:dyDescent="0.25">
      <c r="C458" s="49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51"/>
    </row>
    <row r="459" spans="3:21" x14ac:dyDescent="0.25">
      <c r="C459" s="49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51"/>
    </row>
    <row r="460" spans="3:21" ht="15.75" x14ac:dyDescent="0.25">
      <c r="C460" s="49"/>
      <c r="D460" s="23"/>
      <c r="E460" s="23"/>
      <c r="F460" s="54" t="s">
        <v>234</v>
      </c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51"/>
    </row>
    <row r="461" spans="3:21" x14ac:dyDescent="0.25">
      <c r="C461" s="49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51"/>
    </row>
    <row r="462" spans="3:21" x14ac:dyDescent="0.25">
      <c r="C462" s="49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51"/>
    </row>
    <row r="463" spans="3:21" x14ac:dyDescent="0.25">
      <c r="C463" s="49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51"/>
    </row>
    <row r="464" spans="3:21" x14ac:dyDescent="0.25">
      <c r="C464" s="49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51"/>
    </row>
    <row r="465" spans="3:21" x14ac:dyDescent="0.25">
      <c r="C465" s="49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51"/>
    </row>
    <row r="466" spans="3:21" x14ac:dyDescent="0.25">
      <c r="C466" s="49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51"/>
    </row>
    <row r="467" spans="3:21" x14ac:dyDescent="0.25">
      <c r="C467" s="49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51"/>
    </row>
    <row r="468" spans="3:21" x14ac:dyDescent="0.25">
      <c r="C468" s="49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51"/>
    </row>
    <row r="469" spans="3:21" x14ac:dyDescent="0.25">
      <c r="C469" s="49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51"/>
    </row>
    <row r="470" spans="3:21" x14ac:dyDescent="0.25">
      <c r="C470" s="49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51"/>
    </row>
    <row r="471" spans="3:21" x14ac:dyDescent="0.25">
      <c r="C471" s="49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51"/>
    </row>
    <row r="472" spans="3:21" x14ac:dyDescent="0.25">
      <c r="C472" s="49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51"/>
    </row>
    <row r="473" spans="3:21" x14ac:dyDescent="0.25">
      <c r="C473" s="49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51"/>
    </row>
    <row r="474" spans="3:21" x14ac:dyDescent="0.25">
      <c r="C474" s="49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51"/>
    </row>
    <row r="475" spans="3:21" x14ac:dyDescent="0.25">
      <c r="C475" s="49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51"/>
    </row>
    <row r="476" spans="3:21" x14ac:dyDescent="0.25">
      <c r="C476" s="49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51"/>
    </row>
    <row r="477" spans="3:21" x14ac:dyDescent="0.25">
      <c r="C477" s="49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51"/>
    </row>
    <row r="478" spans="3:21" x14ac:dyDescent="0.25">
      <c r="C478" s="49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51"/>
    </row>
    <row r="479" spans="3:21" x14ac:dyDescent="0.25">
      <c r="C479" s="49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51"/>
    </row>
    <row r="480" spans="3:21" x14ac:dyDescent="0.25">
      <c r="C480" s="49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51"/>
    </row>
    <row r="481" spans="3:21" x14ac:dyDescent="0.25">
      <c r="C481" s="49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51"/>
    </row>
    <row r="482" spans="3:21" x14ac:dyDescent="0.25">
      <c r="C482" s="49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51"/>
    </row>
    <row r="483" spans="3:21" x14ac:dyDescent="0.25">
      <c r="C483" s="49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51"/>
    </row>
    <row r="484" spans="3:21" x14ac:dyDescent="0.25">
      <c r="C484" s="49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51"/>
    </row>
    <row r="485" spans="3:21" x14ac:dyDescent="0.25">
      <c r="C485" s="49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51"/>
    </row>
    <row r="486" spans="3:21" x14ac:dyDescent="0.25">
      <c r="C486" s="49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51"/>
    </row>
    <row r="487" spans="3:21" ht="15.75" x14ac:dyDescent="0.25">
      <c r="C487" s="49"/>
      <c r="D487" s="23"/>
      <c r="E487" s="23"/>
      <c r="F487" s="54" t="s">
        <v>234</v>
      </c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51"/>
    </row>
    <row r="488" spans="3:21" x14ac:dyDescent="0.25">
      <c r="C488" s="49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51"/>
    </row>
    <row r="489" spans="3:21" x14ac:dyDescent="0.25">
      <c r="C489" s="49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51"/>
    </row>
    <row r="490" spans="3:21" x14ac:dyDescent="0.25">
      <c r="C490" s="49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51"/>
    </row>
    <row r="491" spans="3:21" x14ac:dyDescent="0.25">
      <c r="C491" s="49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51"/>
    </row>
    <row r="492" spans="3:21" x14ac:dyDescent="0.25">
      <c r="C492" s="49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51"/>
    </row>
    <row r="493" spans="3:21" x14ac:dyDescent="0.25">
      <c r="C493" s="49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51"/>
    </row>
    <row r="494" spans="3:21" x14ac:dyDescent="0.25">
      <c r="C494" s="49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51"/>
    </row>
    <row r="495" spans="3:21" x14ac:dyDescent="0.25">
      <c r="C495" s="49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51"/>
    </row>
    <row r="496" spans="3:21" x14ac:dyDescent="0.25">
      <c r="C496" s="49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51"/>
    </row>
    <row r="497" spans="3:21" x14ac:dyDescent="0.25">
      <c r="C497" s="49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51"/>
    </row>
    <row r="498" spans="3:21" x14ac:dyDescent="0.25">
      <c r="C498" s="49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51"/>
    </row>
    <row r="499" spans="3:21" x14ac:dyDescent="0.25">
      <c r="C499" s="49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51"/>
    </row>
    <row r="500" spans="3:21" x14ac:dyDescent="0.25">
      <c r="C500" s="49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51"/>
    </row>
    <row r="501" spans="3:21" x14ac:dyDescent="0.25">
      <c r="C501" s="49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51"/>
    </row>
    <row r="502" spans="3:21" x14ac:dyDescent="0.25">
      <c r="C502" s="49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51"/>
    </row>
    <row r="503" spans="3:21" x14ac:dyDescent="0.25">
      <c r="C503" s="49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51"/>
    </row>
    <row r="504" spans="3:21" x14ac:dyDescent="0.25">
      <c r="C504" s="49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51"/>
    </row>
    <row r="505" spans="3:21" x14ac:dyDescent="0.25">
      <c r="C505" s="49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51"/>
    </row>
    <row r="506" spans="3:21" x14ac:dyDescent="0.25">
      <c r="C506" s="49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51"/>
    </row>
    <row r="507" spans="3:21" x14ac:dyDescent="0.25">
      <c r="C507" s="49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51"/>
    </row>
    <row r="508" spans="3:21" x14ac:dyDescent="0.25">
      <c r="C508" s="49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51"/>
    </row>
    <row r="509" spans="3:21" x14ac:dyDescent="0.25">
      <c r="C509" s="49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51"/>
    </row>
    <row r="510" spans="3:21" x14ac:dyDescent="0.25">
      <c r="C510" s="49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51"/>
    </row>
    <row r="511" spans="3:21" x14ac:dyDescent="0.25">
      <c r="C511" s="49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51"/>
    </row>
    <row r="512" spans="3:21" x14ac:dyDescent="0.25">
      <c r="C512" s="49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51"/>
    </row>
    <row r="513" spans="3:21" x14ac:dyDescent="0.25">
      <c r="C513" s="49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51"/>
    </row>
    <row r="514" spans="3:21" ht="15.75" x14ac:dyDescent="0.25">
      <c r="C514" s="49"/>
      <c r="D514" s="23"/>
      <c r="E514" s="23"/>
      <c r="F514" s="54" t="s">
        <v>236</v>
      </c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51"/>
    </row>
    <row r="515" spans="3:21" x14ac:dyDescent="0.25">
      <c r="C515" s="49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51"/>
    </row>
    <row r="516" spans="3:21" x14ac:dyDescent="0.25">
      <c r="C516" s="49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51"/>
    </row>
    <row r="517" spans="3:21" x14ac:dyDescent="0.25">
      <c r="C517" s="49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51"/>
    </row>
    <row r="518" spans="3:21" x14ac:dyDescent="0.25">
      <c r="C518" s="49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51"/>
    </row>
    <row r="519" spans="3:21" x14ac:dyDescent="0.25">
      <c r="C519" s="49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51"/>
    </row>
    <row r="520" spans="3:21" x14ac:dyDescent="0.25">
      <c r="C520" s="49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51"/>
    </row>
    <row r="521" spans="3:21" x14ac:dyDescent="0.25">
      <c r="C521" s="49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51"/>
    </row>
    <row r="522" spans="3:21" x14ac:dyDescent="0.25">
      <c r="C522" s="49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51"/>
    </row>
    <row r="523" spans="3:21" x14ac:dyDescent="0.25">
      <c r="C523" s="49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51"/>
    </row>
    <row r="524" spans="3:21" x14ac:dyDescent="0.25">
      <c r="C524" s="49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51"/>
    </row>
    <row r="525" spans="3:21" x14ac:dyDescent="0.25">
      <c r="C525" s="49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51"/>
    </row>
    <row r="526" spans="3:21" x14ac:dyDescent="0.25">
      <c r="C526" s="49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51"/>
    </row>
    <row r="527" spans="3:21" x14ac:dyDescent="0.25">
      <c r="C527" s="49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51"/>
    </row>
    <row r="528" spans="3:21" x14ac:dyDescent="0.25">
      <c r="C528" s="49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51"/>
    </row>
    <row r="529" spans="3:21" x14ac:dyDescent="0.25">
      <c r="C529" s="49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51"/>
    </row>
    <row r="530" spans="3:21" x14ac:dyDescent="0.25">
      <c r="C530" s="49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51"/>
    </row>
    <row r="531" spans="3:21" x14ac:dyDescent="0.25">
      <c r="C531" s="49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51"/>
    </row>
    <row r="532" spans="3:21" x14ac:dyDescent="0.25">
      <c r="C532" s="49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51"/>
    </row>
    <row r="533" spans="3:21" x14ac:dyDescent="0.25">
      <c r="C533" s="49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51"/>
    </row>
    <row r="534" spans="3:21" x14ac:dyDescent="0.25">
      <c r="C534" s="49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51"/>
    </row>
    <row r="535" spans="3:21" x14ac:dyDescent="0.25">
      <c r="C535" s="49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51"/>
    </row>
    <row r="536" spans="3:21" x14ac:dyDescent="0.25">
      <c r="C536" s="49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51"/>
    </row>
    <row r="537" spans="3:21" x14ac:dyDescent="0.25">
      <c r="C537" s="49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51"/>
    </row>
    <row r="538" spans="3:21" x14ac:dyDescent="0.25">
      <c r="C538" s="49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51"/>
    </row>
    <row r="539" spans="3:21" x14ac:dyDescent="0.25">
      <c r="C539" s="49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51"/>
    </row>
    <row r="540" spans="3:21" x14ac:dyDescent="0.25">
      <c r="C540" s="49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51"/>
    </row>
    <row r="541" spans="3:21" ht="15.75" thickBot="1" x14ac:dyDescent="0.3">
      <c r="C541" s="55"/>
      <c r="D541" s="56"/>
      <c r="E541" s="56"/>
      <c r="F541" s="56"/>
      <c r="G541" s="56"/>
      <c r="H541" s="56"/>
      <c r="I541" s="56"/>
      <c r="J541" s="56"/>
      <c r="K541" s="56"/>
      <c r="L541" s="56"/>
      <c r="M541" s="56"/>
      <c r="N541" s="56"/>
      <c r="O541" s="56"/>
      <c r="P541" s="56"/>
      <c r="Q541" s="56"/>
      <c r="R541" s="56"/>
      <c r="S541" s="56"/>
      <c r="T541" s="56"/>
      <c r="U541" s="57"/>
    </row>
  </sheetData>
  <hyperlinks>
    <hyperlink ref="D8" r:id="rId1" xr:uid="{477722F5-A505-4D85-B981-92309D9065FA}"/>
  </hyperlinks>
  <pageMargins left="0.7" right="0.7" top="0.75" bottom="0.75" header="0.3" footer="0.3"/>
  <pageSetup paperSize="9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599FF1-0C77-4A74-B7BA-9C9E8E56A316}">
  <sheetPr codeName="Sheet2">
    <tabColor rgb="FF92D050"/>
  </sheetPr>
  <dimension ref="D1:FD17"/>
  <sheetViews>
    <sheetView tabSelected="1" zoomScaleNormal="100" workbookViewId="0">
      <pane xSplit="12" ySplit="5" topLeftCell="M6" activePane="bottomRight" state="frozen"/>
      <selection pane="topRight" activeCell="M1" sqref="M1"/>
      <selection pane="bottomLeft" activeCell="A6" sqref="A6"/>
      <selection pane="bottomRight" activeCell="J20" sqref="J20"/>
    </sheetView>
  </sheetViews>
  <sheetFormatPr defaultColWidth="9.140625" defaultRowHeight="15" outlineLevelRow="1" outlineLevelCol="2" x14ac:dyDescent="0.25"/>
  <cols>
    <col min="1" max="1" width="2.85546875" style="1" customWidth="1"/>
    <col min="2" max="2" width="27.42578125" style="1" customWidth="1"/>
    <col min="3" max="3" width="2.85546875" style="1" customWidth="1"/>
    <col min="4" max="4" width="23.28515625" style="1" hidden="1" customWidth="1" outlineLevel="1"/>
    <col min="5" max="5" width="22.7109375" style="2" hidden="1" customWidth="1" outlineLevel="1"/>
    <col min="6" max="6" width="23.28515625" style="2" hidden="1" customWidth="1" outlineLevel="1"/>
    <col min="7" max="7" width="23.85546875" style="1" hidden="1" customWidth="1" outlineLevel="1"/>
    <col min="8" max="8" width="28.140625" style="2" hidden="1" customWidth="1" outlineLevel="1"/>
    <col min="9" max="9" width="13.42578125" style="1" hidden="1" customWidth="1" outlineLevel="1" collapsed="1"/>
    <col min="10" max="10" width="19.140625" style="1" customWidth="1" collapsed="1"/>
    <col min="11" max="11" width="25.85546875" style="1" customWidth="1"/>
    <col min="12" max="12" width="44.7109375" style="1" customWidth="1"/>
    <col min="13" max="13" width="21.28515625" style="1" customWidth="1"/>
    <col min="14" max="14" width="17.85546875" style="1" customWidth="1"/>
    <col min="15" max="15" width="31.140625" style="1" customWidth="1"/>
    <col min="16" max="16" width="31.140625" style="1" customWidth="1" outlineLevel="1"/>
    <col min="17" max="17" width="35.28515625" style="1" customWidth="1" outlineLevel="2"/>
    <col min="18" max="18" width="40.5703125" style="1" customWidth="1" outlineLevel="2" collapsed="1"/>
    <col min="19" max="19" width="34.28515625" style="1" customWidth="1"/>
    <col min="20" max="20" width="32" style="1" customWidth="1"/>
    <col min="21" max="21" width="32.28515625" style="1" bestFit="1" customWidth="1"/>
    <col min="22" max="22" width="25.28515625" style="1" bestFit="1" customWidth="1"/>
    <col min="23" max="23" width="29.85546875" style="1" customWidth="1"/>
    <col min="24" max="26" width="29.85546875" style="1" hidden="1" customWidth="1" outlineLevel="1"/>
    <col min="27" max="27" width="31.5703125" style="1" customWidth="1" collapsed="1"/>
    <col min="28" max="28" width="34" style="1" customWidth="1"/>
    <col min="29" max="29" width="32.85546875" style="1" customWidth="1"/>
    <col min="30" max="30" width="31.140625" style="1" hidden="1" customWidth="1" outlineLevel="1"/>
    <col min="31" max="31" width="35.28515625" style="1" hidden="1" customWidth="1" outlineLevel="1"/>
    <col min="32" max="32" width="20" style="1" hidden="1" customWidth="1" outlineLevel="1"/>
    <col min="33" max="33" width="20.140625" style="1" customWidth="1" collapsed="1"/>
    <col min="34" max="34" width="20.5703125" style="1" customWidth="1"/>
    <col min="35" max="35" width="20.7109375" style="1" customWidth="1"/>
    <col min="36" max="36" width="19.28515625" style="1" customWidth="1"/>
    <col min="37" max="37" width="28.7109375" style="1" customWidth="1"/>
    <col min="38" max="38" width="31.140625" style="1" hidden="1" customWidth="1" outlineLevel="1"/>
    <col min="39" max="39" width="35.28515625" style="1" hidden="1" customWidth="1" outlineLevel="1"/>
    <col min="40" max="40" width="24.85546875" style="1" hidden="1" customWidth="1" outlineLevel="1"/>
    <col min="41" max="41" width="24" style="1" bestFit="1" customWidth="1" collapsed="1"/>
    <col min="42" max="42" width="32.7109375" style="1" hidden="1" customWidth="1" outlineLevel="1"/>
    <col min="43" max="43" width="36.7109375" style="1" hidden="1" customWidth="1" outlineLevel="1"/>
    <col min="44" max="44" width="35.140625" style="1" hidden="1" customWidth="1" outlineLevel="1"/>
    <col min="45" max="45" width="35.42578125" style="1" customWidth="1" collapsed="1"/>
    <col min="46" max="46" width="36.7109375" style="1" customWidth="1"/>
    <col min="47" max="47" width="34.28515625" style="1" customWidth="1"/>
    <col min="48" max="49" width="41.7109375" style="1" customWidth="1"/>
    <col min="50" max="50" width="34.5703125" style="1" customWidth="1"/>
    <col min="51" max="51" width="34" style="1" customWidth="1"/>
    <col min="52" max="53" width="35.7109375" style="1" customWidth="1"/>
    <col min="54" max="54" width="35.140625" style="1" customWidth="1"/>
    <col min="55" max="56" width="34.5703125" style="1" customWidth="1"/>
    <col min="57" max="57" width="34" style="1" customWidth="1"/>
    <col min="58" max="58" width="42.28515625" style="1" bestFit="1" customWidth="1"/>
    <col min="59" max="59" width="42.28515625" style="1" customWidth="1"/>
    <col min="60" max="60" width="35.140625" style="1" customWidth="1"/>
    <col min="61" max="61" width="34.5703125" style="1" customWidth="1"/>
    <col min="62" max="63" width="30.28515625" style="1" customWidth="1"/>
    <col min="64" max="64" width="36.7109375" style="1" hidden="1" customWidth="1" outlineLevel="1"/>
    <col min="65" max="65" width="32.7109375" style="1" hidden="1" customWidth="1" outlineLevel="1"/>
    <col min="66" max="66" width="33.28515625" style="1" customWidth="1" collapsed="1"/>
    <col min="67" max="67" width="32.140625" style="1" customWidth="1"/>
    <col min="68" max="69" width="31.7109375" style="1" customWidth="1"/>
    <col min="70" max="70" width="32.5703125" style="1" customWidth="1"/>
    <col min="71" max="71" width="31.28515625" style="1" customWidth="1"/>
    <col min="72" max="73" width="34.28515625" style="1" customWidth="1"/>
    <col min="74" max="74" width="35" style="1" customWidth="1"/>
    <col min="75" max="75" width="33.7109375" style="1" customWidth="1"/>
    <col min="76" max="77" width="40.7109375" style="1" customWidth="1"/>
    <col min="78" max="78" width="41.42578125" style="1" customWidth="1"/>
    <col min="79" max="79" width="40.140625" style="1" customWidth="1"/>
    <col min="80" max="81" width="42.85546875" style="1" customWidth="1"/>
    <col min="82" max="82" width="43.7109375" style="1" customWidth="1"/>
    <col min="83" max="83" width="42.28515625" style="1" customWidth="1"/>
    <col min="84" max="85" width="41.7109375" style="1" customWidth="1"/>
    <col min="86" max="86" width="42.5703125" style="1" customWidth="1"/>
    <col min="87" max="87" width="41.28515625" style="1" customWidth="1"/>
    <col min="88" max="89" width="35.85546875" style="1" customWidth="1"/>
    <col min="90" max="90" width="34.28515625" style="1" customWidth="1"/>
    <col min="91" max="91" width="34.85546875" style="1" customWidth="1"/>
    <col min="92" max="92" width="33.7109375" style="1" customWidth="1"/>
    <col min="93" max="94" width="30.28515625" style="1" customWidth="1"/>
    <col min="95" max="95" width="36.7109375" style="1" hidden="1" customWidth="1" outlineLevel="1"/>
    <col min="96" max="96" width="33.7109375" style="1" hidden="1" customWidth="1" outlineLevel="1"/>
    <col min="97" max="97" width="44.28515625" style="1" customWidth="1" collapsed="1"/>
    <col min="98" max="98" width="34.28515625" style="1" customWidth="1"/>
    <col min="99" max="99" width="33.28515625" style="1" customWidth="1"/>
    <col min="100" max="100" width="39.7109375" style="1" bestFit="1" customWidth="1"/>
    <col min="101" max="102" width="44.28515625" style="1" customWidth="1"/>
    <col min="103" max="103" width="44.7109375" style="1" bestFit="1" customWidth="1"/>
    <col min="104" max="104" width="41.42578125" style="1" bestFit="1" customWidth="1"/>
    <col min="105" max="105" width="44.7109375" style="1" bestFit="1" customWidth="1"/>
    <col min="106" max="106" width="36.7109375" style="1" hidden="1" customWidth="1" outlineLevel="1"/>
    <col min="107" max="107" width="32.5703125" style="1" hidden="1" customWidth="1" outlineLevel="1"/>
    <col min="108" max="108" width="39.28515625" style="1" customWidth="1" collapsed="1"/>
    <col min="109" max="109" width="34.28515625" style="1" customWidth="1"/>
    <col min="110" max="110" width="30.28515625" style="1" customWidth="1"/>
    <col min="111" max="111" width="32.7109375" style="1" hidden="1" customWidth="1" outlineLevel="1"/>
    <col min="112" max="112" width="36.7109375" style="1" hidden="1" customWidth="1" outlineLevel="1"/>
    <col min="113" max="113" width="48.140625" style="1" hidden="1" customWidth="1" outlineLevel="1"/>
    <col min="114" max="114" width="27" style="1" customWidth="1" collapsed="1"/>
    <col min="115" max="115" width="39.28515625" style="1" customWidth="1"/>
    <col min="116" max="116" width="31.7109375" style="1" customWidth="1"/>
    <col min="117" max="117" width="26.28515625" style="1" customWidth="1"/>
    <col min="118" max="118" width="24.28515625" style="1" bestFit="1" customWidth="1"/>
    <col min="119" max="119" width="21.140625" style="1" customWidth="1"/>
    <col min="120" max="120" width="28.7109375" style="1" customWidth="1"/>
    <col min="121" max="121" width="31.140625" style="1" hidden="1" customWidth="1" outlineLevel="1"/>
    <col min="122" max="122" width="35.28515625" style="1" hidden="1" customWidth="1" outlineLevel="1"/>
    <col min="123" max="123" width="34.28515625" style="1" hidden="1" customWidth="1" outlineLevel="1"/>
    <col min="124" max="124" width="28.7109375" style="1" customWidth="1" collapsed="1"/>
    <col min="125" max="125" width="31.140625" style="1" hidden="1" customWidth="1" outlineLevel="1"/>
    <col min="126" max="126" width="35.28515625" style="1" hidden="1" customWidth="1" outlineLevel="1"/>
    <col min="127" max="127" width="25.5703125" style="1" hidden="1" customWidth="1" outlineLevel="1" collapsed="1"/>
    <col min="128" max="128" width="28.7109375" style="1" customWidth="1" collapsed="1"/>
    <col min="129" max="129" width="29.5703125" style="1" customWidth="1" outlineLevel="1"/>
    <col min="130" max="130" width="32.140625" style="1" customWidth="1" outlineLevel="1"/>
    <col min="131" max="131" width="36.28515625" style="1" customWidth="1" outlineLevel="1" collapsed="1"/>
    <col min="132" max="132" width="22.85546875" style="1" customWidth="1" outlineLevel="1" collapsed="1"/>
    <col min="133" max="133" width="15.42578125" style="1" customWidth="1" outlineLevel="1"/>
    <col min="134" max="134" width="13.7109375" style="1" customWidth="1" outlineLevel="1"/>
    <col min="135" max="135" width="23.28515625" style="1" customWidth="1" outlineLevel="1"/>
    <col min="136" max="136" width="22.28515625" style="1" customWidth="1" outlineLevel="1"/>
    <col min="137" max="137" width="23" style="1" customWidth="1" outlineLevel="1"/>
    <col min="138" max="138" width="22.7109375" style="1" customWidth="1" outlineLevel="1"/>
    <col min="139" max="139" width="23.85546875" style="1" customWidth="1" outlineLevel="1"/>
    <col min="140" max="140" width="22.7109375" style="1" customWidth="1" outlineLevel="1"/>
    <col min="141" max="141" width="24.140625" style="1" customWidth="1" outlineLevel="1"/>
    <col min="142" max="142" width="20.28515625" style="1" customWidth="1" outlineLevel="1"/>
    <col min="143" max="143" width="19.5703125" style="1" customWidth="1" outlineLevel="1"/>
    <col min="144" max="144" width="22" style="1" customWidth="1" outlineLevel="1"/>
    <col min="145" max="145" width="28.42578125" style="1" customWidth="1" outlineLevel="1"/>
    <col min="146" max="146" width="30.42578125" style="1" customWidth="1" outlineLevel="1"/>
    <col min="147" max="147" width="29.5703125" style="1" customWidth="1" outlineLevel="1"/>
    <col min="148" max="148" width="22.28515625" style="1" customWidth="1" outlineLevel="1"/>
    <col min="149" max="149" width="23" style="1" customWidth="1" outlineLevel="1"/>
    <col min="150" max="150" width="22.5703125" style="1" customWidth="1" outlineLevel="1"/>
    <col min="151" max="151" width="28.28515625" style="1" customWidth="1" outlineLevel="1"/>
    <col min="152" max="160" width="21.28515625" style="1" customWidth="1" outlineLevel="1"/>
    <col min="161" max="16384" width="9.140625" style="1"/>
  </cols>
  <sheetData>
    <row r="1" spans="4:160" outlineLevel="1" x14ac:dyDescent="0.25"/>
    <row r="2" spans="4:160" outlineLevel="1" x14ac:dyDescent="0.25">
      <c r="BN2" s="1">
        <v>1</v>
      </c>
      <c r="BO2" s="1">
        <v>2</v>
      </c>
      <c r="BP2" s="1">
        <v>3</v>
      </c>
      <c r="BQ2" s="1">
        <v>4</v>
      </c>
      <c r="BR2" s="1">
        <v>5</v>
      </c>
      <c r="BS2" s="1">
        <v>6</v>
      </c>
      <c r="BT2" s="1">
        <v>7</v>
      </c>
      <c r="BU2" s="1">
        <v>8</v>
      </c>
      <c r="BV2" s="1">
        <v>9</v>
      </c>
      <c r="BW2" s="1">
        <v>10</v>
      </c>
      <c r="BX2" s="1">
        <v>11</v>
      </c>
      <c r="BY2" s="1">
        <v>12</v>
      </c>
      <c r="BZ2" s="1">
        <v>13</v>
      </c>
      <c r="CA2" s="1">
        <v>14</v>
      </c>
      <c r="CB2" s="1">
        <v>15</v>
      </c>
      <c r="CC2" s="1">
        <v>16</v>
      </c>
      <c r="CD2" s="1">
        <v>17</v>
      </c>
      <c r="CE2" s="1">
        <v>18</v>
      </c>
      <c r="CF2" s="1">
        <v>19</v>
      </c>
      <c r="CG2" s="1">
        <v>20</v>
      </c>
      <c r="CH2" s="1">
        <v>21</v>
      </c>
      <c r="CI2" s="1">
        <v>22</v>
      </c>
      <c r="CJ2" s="1">
        <v>23</v>
      </c>
      <c r="CK2" s="1">
        <v>24</v>
      </c>
      <c r="CL2" s="1">
        <v>25</v>
      </c>
      <c r="CM2" s="1">
        <v>26</v>
      </c>
      <c r="CN2" s="1">
        <v>27</v>
      </c>
      <c r="CO2" s="1">
        <v>28</v>
      </c>
      <c r="CS2" s="1">
        <v>1</v>
      </c>
      <c r="CT2" s="1">
        <v>2</v>
      </c>
      <c r="CU2" s="1">
        <v>3</v>
      </c>
      <c r="CV2" s="1">
        <v>4</v>
      </c>
      <c r="CW2" s="1">
        <v>5</v>
      </c>
      <c r="CX2" s="1">
        <v>6</v>
      </c>
      <c r="CY2" s="1">
        <v>7</v>
      </c>
      <c r="CZ2" s="1">
        <v>8</v>
      </c>
    </row>
    <row r="3" spans="4:160" outlineLevel="1" x14ac:dyDescent="0.25">
      <c r="D3" s="1">
        <v>1</v>
      </c>
      <c r="E3" s="1">
        <v>2</v>
      </c>
      <c r="F3" s="1">
        <v>3</v>
      </c>
      <c r="G3" s="1">
        <v>4</v>
      </c>
      <c r="H3" s="1">
        <v>5</v>
      </c>
      <c r="I3" s="1">
        <v>6</v>
      </c>
      <c r="J3" s="1">
        <v>7</v>
      </c>
      <c r="K3" s="1">
        <v>8</v>
      </c>
      <c r="L3" s="1">
        <v>9</v>
      </c>
      <c r="M3" s="1">
        <v>10</v>
      </c>
      <c r="N3" s="1">
        <v>11</v>
      </c>
      <c r="O3" s="1">
        <v>12</v>
      </c>
      <c r="P3" s="1">
        <v>13</v>
      </c>
      <c r="Q3" s="1">
        <v>14</v>
      </c>
      <c r="R3" s="1">
        <v>15</v>
      </c>
      <c r="S3" s="1">
        <v>16</v>
      </c>
      <c r="T3" s="1">
        <v>17</v>
      </c>
      <c r="U3" s="1">
        <v>18</v>
      </c>
      <c r="V3" s="1">
        <v>19</v>
      </c>
      <c r="W3" s="1">
        <v>20</v>
      </c>
      <c r="X3" s="1">
        <v>21</v>
      </c>
      <c r="Y3" s="1">
        <v>22</v>
      </c>
      <c r="Z3" s="1">
        <v>23</v>
      </c>
      <c r="AA3" s="1">
        <v>24</v>
      </c>
      <c r="AB3" s="1">
        <v>25</v>
      </c>
      <c r="AC3" s="1">
        <v>26</v>
      </c>
      <c r="AD3" s="1">
        <v>27</v>
      </c>
      <c r="AE3" s="1">
        <v>28</v>
      </c>
      <c r="AF3" s="1">
        <v>29</v>
      </c>
      <c r="AG3" s="1">
        <v>30</v>
      </c>
      <c r="AH3" s="1">
        <v>31</v>
      </c>
      <c r="AI3" s="1">
        <v>32</v>
      </c>
      <c r="AJ3" s="1">
        <v>33</v>
      </c>
      <c r="AK3" s="1">
        <v>34</v>
      </c>
      <c r="AL3" s="1">
        <v>35</v>
      </c>
      <c r="AM3" s="1">
        <v>36</v>
      </c>
      <c r="AN3" s="1">
        <v>37</v>
      </c>
      <c r="AO3" s="1">
        <v>38</v>
      </c>
      <c r="AP3" s="1">
        <v>39</v>
      </c>
      <c r="AQ3" s="1">
        <v>40</v>
      </c>
      <c r="AR3" s="1">
        <v>41</v>
      </c>
      <c r="AS3" s="1">
        <v>42</v>
      </c>
      <c r="AT3" s="1">
        <v>43</v>
      </c>
      <c r="AU3" s="1">
        <v>44</v>
      </c>
      <c r="AV3" s="1">
        <v>45</v>
      </c>
      <c r="AW3" s="1">
        <v>46</v>
      </c>
      <c r="AX3" s="1">
        <v>47</v>
      </c>
      <c r="AY3" s="1">
        <v>48</v>
      </c>
      <c r="AZ3" s="1">
        <v>49</v>
      </c>
      <c r="BA3" s="1">
        <v>50</v>
      </c>
      <c r="BB3" s="1">
        <v>51</v>
      </c>
      <c r="BC3" s="1">
        <v>52</v>
      </c>
      <c r="BD3" s="1">
        <v>53</v>
      </c>
      <c r="BE3" s="1">
        <v>54</v>
      </c>
      <c r="BF3" s="1">
        <v>55</v>
      </c>
      <c r="BG3" s="1">
        <v>56</v>
      </c>
      <c r="BH3" s="1">
        <v>57</v>
      </c>
      <c r="BI3" s="1">
        <v>58</v>
      </c>
      <c r="BJ3" s="1">
        <v>59</v>
      </c>
      <c r="BK3" s="1">
        <v>60</v>
      </c>
      <c r="BL3" s="1">
        <v>61</v>
      </c>
      <c r="BM3" s="1">
        <v>62</v>
      </c>
      <c r="BN3" s="1">
        <v>63</v>
      </c>
      <c r="BO3" s="1">
        <v>64</v>
      </c>
      <c r="BP3" s="1">
        <v>65</v>
      </c>
      <c r="BQ3" s="1">
        <v>66</v>
      </c>
      <c r="BR3" s="1">
        <v>67</v>
      </c>
      <c r="BS3" s="1">
        <v>68</v>
      </c>
      <c r="BT3" s="1">
        <v>69</v>
      </c>
      <c r="BU3" s="1">
        <v>70</v>
      </c>
      <c r="BV3" s="1">
        <v>71</v>
      </c>
      <c r="BW3" s="1">
        <v>72</v>
      </c>
      <c r="BX3" s="1">
        <v>73</v>
      </c>
      <c r="BY3" s="1">
        <v>74</v>
      </c>
      <c r="BZ3" s="1">
        <v>75</v>
      </c>
      <c r="CA3" s="1">
        <v>76</v>
      </c>
      <c r="CB3" s="1">
        <v>77</v>
      </c>
      <c r="CC3" s="1">
        <v>78</v>
      </c>
      <c r="CD3" s="1">
        <v>79</v>
      </c>
      <c r="CE3" s="1">
        <v>80</v>
      </c>
      <c r="CF3" s="1">
        <v>81</v>
      </c>
      <c r="CG3" s="1">
        <v>82</v>
      </c>
      <c r="CH3" s="1">
        <v>83</v>
      </c>
      <c r="CI3" s="1">
        <v>84</v>
      </c>
      <c r="CJ3" s="1">
        <v>85</v>
      </c>
      <c r="CK3" s="1">
        <v>86</v>
      </c>
      <c r="CL3" s="1">
        <v>87</v>
      </c>
      <c r="CM3" s="1">
        <v>88</v>
      </c>
      <c r="CN3" s="1">
        <v>89</v>
      </c>
      <c r="CO3" s="1">
        <v>90</v>
      </c>
      <c r="CP3" s="1">
        <v>91</v>
      </c>
      <c r="CQ3" s="1">
        <v>92</v>
      </c>
      <c r="CR3" s="1">
        <v>93</v>
      </c>
      <c r="CS3" s="1">
        <v>94</v>
      </c>
      <c r="CT3" s="1">
        <v>95</v>
      </c>
      <c r="CU3" s="1">
        <v>96</v>
      </c>
      <c r="CV3" s="1">
        <v>97</v>
      </c>
      <c r="CW3" s="1">
        <v>98</v>
      </c>
      <c r="CX3" s="1">
        <v>99</v>
      </c>
      <c r="CY3" s="1">
        <v>100</v>
      </c>
      <c r="CZ3" s="1">
        <v>101</v>
      </c>
      <c r="DA3" s="1">
        <v>102</v>
      </c>
      <c r="DB3" s="1">
        <v>103</v>
      </c>
      <c r="DC3" s="1">
        <v>104</v>
      </c>
      <c r="DD3" s="1">
        <v>105</v>
      </c>
      <c r="DE3" s="1">
        <v>106</v>
      </c>
      <c r="DF3" s="1">
        <v>107</v>
      </c>
      <c r="DG3" s="1">
        <v>108</v>
      </c>
      <c r="DH3" s="1">
        <v>109</v>
      </c>
      <c r="DI3" s="1">
        <v>110</v>
      </c>
      <c r="DJ3" s="1">
        <v>111</v>
      </c>
      <c r="DK3" s="1">
        <v>112</v>
      </c>
      <c r="DL3" s="1">
        <v>113</v>
      </c>
      <c r="DM3" s="1">
        <v>114</v>
      </c>
      <c r="DN3" s="1">
        <v>115</v>
      </c>
      <c r="DO3" s="1">
        <v>116</v>
      </c>
      <c r="DP3" s="1">
        <v>117</v>
      </c>
      <c r="DQ3" s="1">
        <v>118</v>
      </c>
      <c r="DR3" s="1">
        <v>119</v>
      </c>
      <c r="DS3" s="1">
        <v>120</v>
      </c>
      <c r="DT3" s="1">
        <v>121</v>
      </c>
      <c r="DU3" s="1">
        <v>122</v>
      </c>
      <c r="DV3" s="1">
        <v>123</v>
      </c>
      <c r="DW3" s="1">
        <v>124</v>
      </c>
      <c r="DX3" s="1">
        <v>125</v>
      </c>
      <c r="DY3" s="1">
        <v>126</v>
      </c>
      <c r="DZ3" s="1">
        <v>127</v>
      </c>
      <c r="EA3" s="1">
        <v>128</v>
      </c>
      <c r="EB3" s="1">
        <v>129</v>
      </c>
      <c r="EC3" s="1">
        <v>130</v>
      </c>
      <c r="ED3" s="1">
        <v>131</v>
      </c>
      <c r="EE3" s="1">
        <v>132</v>
      </c>
      <c r="EF3" s="1">
        <v>133</v>
      </c>
      <c r="EG3" s="1">
        <v>134</v>
      </c>
      <c r="EH3" s="1">
        <v>135</v>
      </c>
      <c r="EI3" s="1">
        <v>136</v>
      </c>
      <c r="EJ3" s="1">
        <v>137</v>
      </c>
      <c r="EK3" s="1">
        <v>138</v>
      </c>
      <c r="EL3" s="1">
        <v>139</v>
      </c>
      <c r="EM3" s="1">
        <v>140</v>
      </c>
      <c r="EN3" s="1">
        <v>141</v>
      </c>
      <c r="EO3" s="1">
        <v>142</v>
      </c>
      <c r="EP3" s="1">
        <v>143</v>
      </c>
      <c r="EQ3" s="1">
        <v>144</v>
      </c>
      <c r="ER3" s="1">
        <v>145</v>
      </c>
      <c r="ES3" s="1">
        <v>146</v>
      </c>
      <c r="ET3" s="1">
        <v>147</v>
      </c>
      <c r="EU3" s="1">
        <v>148</v>
      </c>
      <c r="EV3" s="1">
        <v>149</v>
      </c>
      <c r="EW3" s="1">
        <v>150</v>
      </c>
      <c r="EX3" s="1">
        <v>151</v>
      </c>
      <c r="EY3" s="1">
        <v>152</v>
      </c>
      <c r="EZ3" s="1">
        <v>153</v>
      </c>
      <c r="FA3" s="1">
        <v>154</v>
      </c>
      <c r="FB3" s="1">
        <v>155</v>
      </c>
      <c r="FC3" s="1">
        <v>156</v>
      </c>
      <c r="FD3" s="1">
        <v>157</v>
      </c>
    </row>
    <row r="4" spans="4:160" x14ac:dyDescent="0.25">
      <c r="D4" s="63" t="s">
        <v>0</v>
      </c>
      <c r="E4" s="63"/>
      <c r="F4" s="64" t="s">
        <v>1</v>
      </c>
      <c r="G4" s="64"/>
      <c r="H4" s="62" t="s">
        <v>2</v>
      </c>
      <c r="I4" s="62"/>
      <c r="J4" s="3" t="s">
        <v>291</v>
      </c>
      <c r="K4" s="65" t="s">
        <v>3</v>
      </c>
      <c r="L4" s="65"/>
      <c r="M4" s="65"/>
      <c r="N4" s="65"/>
      <c r="O4" s="65"/>
      <c r="P4" s="45"/>
      <c r="Q4" s="62" t="s">
        <v>4</v>
      </c>
      <c r="R4" s="62"/>
      <c r="S4" s="3"/>
      <c r="T4" s="3"/>
      <c r="U4" s="3"/>
      <c r="V4" s="3"/>
      <c r="W4" s="3"/>
      <c r="X4" s="3"/>
      <c r="Y4" s="62" t="s">
        <v>5</v>
      </c>
      <c r="Z4" s="62"/>
      <c r="AA4" s="3"/>
      <c r="AB4" s="3"/>
      <c r="AC4" s="3"/>
      <c r="AD4" s="3"/>
      <c r="AE4" s="62" t="s">
        <v>6</v>
      </c>
      <c r="AF4" s="62"/>
      <c r="AM4" s="62" t="s">
        <v>7</v>
      </c>
      <c r="AN4" s="62"/>
      <c r="AQ4" s="62" t="s">
        <v>8</v>
      </c>
      <c r="AR4" s="62"/>
      <c r="BL4" s="62" t="s">
        <v>9</v>
      </c>
      <c r="BM4" s="62"/>
      <c r="CQ4" s="62" t="s">
        <v>10</v>
      </c>
      <c r="CR4" s="62"/>
      <c r="DB4" s="62" t="s">
        <v>11</v>
      </c>
      <c r="DC4" s="62"/>
      <c r="DH4" s="62" t="s">
        <v>12</v>
      </c>
      <c r="DI4" s="62"/>
      <c r="DR4" s="62" t="s">
        <v>13</v>
      </c>
      <c r="DS4" s="62"/>
      <c r="DV4" s="62" t="s">
        <v>14</v>
      </c>
      <c r="DW4" s="62"/>
      <c r="DZ4" s="62" t="s">
        <v>15</v>
      </c>
      <c r="EA4" s="62"/>
    </row>
    <row r="5" spans="4:160" x14ac:dyDescent="0.25">
      <c r="D5" s="10" t="s">
        <v>16</v>
      </c>
      <c r="E5" s="11" t="s">
        <v>17</v>
      </c>
      <c r="F5" s="12" t="s">
        <v>18</v>
      </c>
      <c r="G5" s="13" t="s">
        <v>19</v>
      </c>
      <c r="H5" s="14" t="s">
        <v>20</v>
      </c>
      <c r="I5" s="8" t="s">
        <v>21</v>
      </c>
      <c r="J5" s="4" t="s">
        <v>22</v>
      </c>
      <c r="K5" s="4" t="s">
        <v>23</v>
      </c>
      <c r="L5" s="4" t="s">
        <v>24</v>
      </c>
      <c r="M5" s="4" t="s">
        <v>25</v>
      </c>
      <c r="N5" s="4" t="s">
        <v>26</v>
      </c>
      <c r="O5" s="4" t="s">
        <v>27</v>
      </c>
      <c r="P5" s="7" t="s">
        <v>28</v>
      </c>
      <c r="Q5" s="8" t="s">
        <v>29</v>
      </c>
      <c r="R5" s="8" t="s">
        <v>30</v>
      </c>
      <c r="S5" s="4" t="s">
        <v>31</v>
      </c>
      <c r="T5" s="4" t="s">
        <v>32</v>
      </c>
      <c r="U5" s="4" t="s">
        <v>33</v>
      </c>
      <c r="V5" s="4" t="s">
        <v>34</v>
      </c>
      <c r="W5" s="4" t="s">
        <v>35</v>
      </c>
      <c r="X5" s="7" t="s">
        <v>36</v>
      </c>
      <c r="Y5" s="8" t="s">
        <v>37</v>
      </c>
      <c r="Z5" s="8" t="s">
        <v>38</v>
      </c>
      <c r="AA5" s="4" t="s">
        <v>39</v>
      </c>
      <c r="AB5" s="4" t="s">
        <v>40</v>
      </c>
      <c r="AC5" s="4" t="s">
        <v>41</v>
      </c>
      <c r="AD5" s="7" t="s">
        <v>42</v>
      </c>
      <c r="AE5" s="8" t="s">
        <v>43</v>
      </c>
      <c r="AF5" s="8" t="s">
        <v>44</v>
      </c>
      <c r="AG5" s="4" t="s">
        <v>45</v>
      </c>
      <c r="AH5" s="4" t="s">
        <v>46</v>
      </c>
      <c r="AI5" s="4" t="s">
        <v>47</v>
      </c>
      <c r="AJ5" s="4" t="s">
        <v>48</v>
      </c>
      <c r="AK5" s="4" t="s">
        <v>49</v>
      </c>
      <c r="AL5" s="7" t="s">
        <v>50</v>
      </c>
      <c r="AM5" s="8" t="s">
        <v>51</v>
      </c>
      <c r="AN5" s="8" t="s">
        <v>52</v>
      </c>
      <c r="AO5" s="4" t="s">
        <v>53</v>
      </c>
      <c r="AP5" s="7" t="s">
        <v>54</v>
      </c>
      <c r="AQ5" s="8" t="s">
        <v>55</v>
      </c>
      <c r="AR5" s="8" t="s">
        <v>56</v>
      </c>
      <c r="AS5" s="4" t="s">
        <v>57</v>
      </c>
      <c r="AT5" s="4" t="s">
        <v>58</v>
      </c>
      <c r="AU5" s="4" t="s">
        <v>59</v>
      </c>
      <c r="AV5" s="4" t="s">
        <v>60</v>
      </c>
      <c r="AW5" s="39" t="s">
        <v>61</v>
      </c>
      <c r="AX5" s="4" t="s">
        <v>62</v>
      </c>
      <c r="AY5" s="4" t="s">
        <v>63</v>
      </c>
      <c r="AZ5" s="4" t="s">
        <v>64</v>
      </c>
      <c r="BA5" s="39" t="s">
        <v>65</v>
      </c>
      <c r="BB5" s="4" t="s">
        <v>66</v>
      </c>
      <c r="BC5" s="4" t="s">
        <v>67</v>
      </c>
      <c r="BD5" s="39" t="s">
        <v>68</v>
      </c>
      <c r="BE5" s="4" t="s">
        <v>69</v>
      </c>
      <c r="BF5" s="4" t="s">
        <v>70</v>
      </c>
      <c r="BG5" s="39" t="s">
        <v>71</v>
      </c>
      <c r="BH5" s="4" t="s">
        <v>72</v>
      </c>
      <c r="BI5" s="4" t="s">
        <v>73</v>
      </c>
      <c r="BJ5" s="4" t="s">
        <v>74</v>
      </c>
      <c r="BK5" s="7" t="s">
        <v>75</v>
      </c>
      <c r="BL5" s="8" t="s">
        <v>76</v>
      </c>
      <c r="BM5" s="8" t="s">
        <v>77</v>
      </c>
      <c r="BN5" s="4" t="s">
        <v>78</v>
      </c>
      <c r="BO5" s="4" t="s">
        <v>79</v>
      </c>
      <c r="BP5" s="4" t="s">
        <v>80</v>
      </c>
      <c r="BQ5" s="39" t="s">
        <v>81</v>
      </c>
      <c r="BR5" s="4" t="s">
        <v>82</v>
      </c>
      <c r="BS5" s="4" t="s">
        <v>83</v>
      </c>
      <c r="BT5" s="4" t="s">
        <v>84</v>
      </c>
      <c r="BU5" s="39" t="s">
        <v>85</v>
      </c>
      <c r="BV5" s="4" t="s">
        <v>86</v>
      </c>
      <c r="BW5" s="4" t="s">
        <v>87</v>
      </c>
      <c r="BX5" s="4" t="s">
        <v>88</v>
      </c>
      <c r="BY5" s="39" t="s">
        <v>89</v>
      </c>
      <c r="BZ5" s="4" t="s">
        <v>90</v>
      </c>
      <c r="CA5" s="4" t="s">
        <v>91</v>
      </c>
      <c r="CB5" s="4" t="s">
        <v>92</v>
      </c>
      <c r="CC5" s="39" t="s">
        <v>93</v>
      </c>
      <c r="CD5" s="4" t="s">
        <v>94</v>
      </c>
      <c r="CE5" s="4" t="s">
        <v>95</v>
      </c>
      <c r="CF5" s="4" t="s">
        <v>96</v>
      </c>
      <c r="CG5" s="39" t="s">
        <v>97</v>
      </c>
      <c r="CH5" s="4" t="s">
        <v>98</v>
      </c>
      <c r="CI5" s="4" t="s">
        <v>99</v>
      </c>
      <c r="CJ5" s="4" t="s">
        <v>100</v>
      </c>
      <c r="CK5" s="39" t="s">
        <v>101</v>
      </c>
      <c r="CL5" s="4" t="s">
        <v>102</v>
      </c>
      <c r="CM5" s="4" t="s">
        <v>103</v>
      </c>
      <c r="CN5" s="4" t="s">
        <v>104</v>
      </c>
      <c r="CO5" s="4" t="s">
        <v>105</v>
      </c>
      <c r="CP5" s="39" t="s">
        <v>106</v>
      </c>
      <c r="CQ5" s="8" t="s">
        <v>107</v>
      </c>
      <c r="CR5" s="8" t="s">
        <v>108</v>
      </c>
      <c r="CS5" s="4" t="s">
        <v>109</v>
      </c>
      <c r="CT5" s="4" t="s">
        <v>110</v>
      </c>
      <c r="CU5" s="4" t="s">
        <v>111</v>
      </c>
      <c r="CV5" s="39" t="s">
        <v>112</v>
      </c>
      <c r="CW5" s="4" t="s">
        <v>113</v>
      </c>
      <c r="CX5" s="39" t="s">
        <v>114</v>
      </c>
      <c r="CY5" s="4" t="s">
        <v>115</v>
      </c>
      <c r="CZ5" s="4" t="s">
        <v>116</v>
      </c>
      <c r="DA5" s="39" t="s">
        <v>117</v>
      </c>
      <c r="DB5" s="8" t="s">
        <v>118</v>
      </c>
      <c r="DC5" s="8" t="s">
        <v>119</v>
      </c>
      <c r="DD5" s="4" t="s">
        <v>120</v>
      </c>
      <c r="DE5" s="4" t="s">
        <v>121</v>
      </c>
      <c r="DF5" s="4" t="s">
        <v>122</v>
      </c>
      <c r="DG5" s="7" t="s">
        <v>123</v>
      </c>
      <c r="DH5" s="8" t="s">
        <v>124</v>
      </c>
      <c r="DI5" s="8" t="s">
        <v>125</v>
      </c>
      <c r="DJ5" s="4" t="s">
        <v>126</v>
      </c>
      <c r="DK5" s="4" t="s">
        <v>127</v>
      </c>
      <c r="DL5" s="4" t="s">
        <v>128</v>
      </c>
      <c r="DM5" s="4" t="s">
        <v>129</v>
      </c>
      <c r="DN5" s="4" t="s">
        <v>130</v>
      </c>
      <c r="DO5" s="4" t="s">
        <v>131</v>
      </c>
      <c r="DP5" s="4" t="s">
        <v>132</v>
      </c>
      <c r="DQ5" s="7" t="s">
        <v>133</v>
      </c>
      <c r="DR5" s="8" t="s">
        <v>134</v>
      </c>
      <c r="DS5" s="8" t="s">
        <v>135</v>
      </c>
      <c r="DT5" s="4" t="s">
        <v>136</v>
      </c>
      <c r="DU5" s="7" t="s">
        <v>137</v>
      </c>
      <c r="DV5" s="8" t="s">
        <v>138</v>
      </c>
      <c r="DW5" s="8" t="s">
        <v>139</v>
      </c>
      <c r="DX5" s="4" t="s">
        <v>140</v>
      </c>
      <c r="DY5" s="7" t="s">
        <v>141</v>
      </c>
      <c r="DZ5" s="8" t="s">
        <v>142</v>
      </c>
      <c r="EA5" s="8" t="s">
        <v>143</v>
      </c>
      <c r="EB5" s="8" t="s">
        <v>144</v>
      </c>
      <c r="EC5" s="8" t="s">
        <v>145</v>
      </c>
      <c r="ED5" s="8" t="s">
        <v>146</v>
      </c>
      <c r="EE5" s="8" t="s">
        <v>147</v>
      </c>
      <c r="EF5" s="8" t="s">
        <v>148</v>
      </c>
      <c r="EG5" s="8" t="s">
        <v>149</v>
      </c>
      <c r="EH5" s="8" t="s">
        <v>150</v>
      </c>
      <c r="EI5" s="8" t="s">
        <v>151</v>
      </c>
      <c r="EJ5" s="8" t="s">
        <v>152</v>
      </c>
      <c r="EK5" s="8" t="s">
        <v>153</v>
      </c>
      <c r="EL5" s="8" t="s">
        <v>154</v>
      </c>
      <c r="EM5" s="8" t="s">
        <v>155</v>
      </c>
      <c r="EN5" s="8" t="s">
        <v>156</v>
      </c>
      <c r="EO5" s="8" t="s">
        <v>157</v>
      </c>
      <c r="EP5" s="8" t="s">
        <v>158</v>
      </c>
      <c r="EQ5" s="8" t="s">
        <v>159</v>
      </c>
      <c r="ER5" s="8" t="s">
        <v>160</v>
      </c>
      <c r="ES5" s="8" t="s">
        <v>161</v>
      </c>
      <c r="ET5" s="8" t="s">
        <v>162</v>
      </c>
      <c r="EU5" s="8" t="s">
        <v>163</v>
      </c>
      <c r="EV5" s="8" t="s">
        <v>164</v>
      </c>
      <c r="EW5" s="8" t="s">
        <v>165</v>
      </c>
      <c r="EX5" s="8" t="s">
        <v>166</v>
      </c>
      <c r="EY5" s="8" t="s">
        <v>167</v>
      </c>
      <c r="EZ5" s="8" t="s">
        <v>168</v>
      </c>
      <c r="FA5" s="8" t="s">
        <v>169</v>
      </c>
      <c r="FB5" s="8" t="s">
        <v>170</v>
      </c>
      <c r="FC5" s="8" t="s">
        <v>171</v>
      </c>
      <c r="FD5" s="8" t="s">
        <v>172</v>
      </c>
    </row>
    <row r="6" spans="4:160" x14ac:dyDescent="0.25">
      <c r="D6" s="5">
        <v>44452.372048611112</v>
      </c>
      <c r="E6" s="6" t="s">
        <v>173</v>
      </c>
      <c r="F6" s="5"/>
      <c r="G6" s="6"/>
      <c r="H6" s="5">
        <v>44477.321018518516</v>
      </c>
      <c r="I6" s="6" t="s">
        <v>173</v>
      </c>
      <c r="J6" s="4" t="s">
        <v>174</v>
      </c>
      <c r="K6" s="4" t="s">
        <v>175</v>
      </c>
      <c r="L6" s="4" t="s">
        <v>176</v>
      </c>
      <c r="M6" s="4" t="s">
        <v>177</v>
      </c>
      <c r="N6" s="4" t="s">
        <v>178</v>
      </c>
      <c r="O6" s="4" t="s">
        <v>179</v>
      </c>
      <c r="P6" s="7" t="s">
        <v>180</v>
      </c>
      <c r="Q6" s="5">
        <v>44473.619849537034</v>
      </c>
      <c r="R6" s="6" t="s">
        <v>271</v>
      </c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6"/>
      <c r="AE6" s="5"/>
      <c r="AF6" s="6"/>
      <c r="AG6" s="4"/>
      <c r="AH6" s="4"/>
      <c r="AI6" s="4"/>
      <c r="AJ6" s="4"/>
      <c r="AK6" s="4"/>
      <c r="AL6" s="6"/>
      <c r="AM6" s="5"/>
      <c r="AN6" s="6"/>
      <c r="AO6" s="4"/>
      <c r="AP6" s="6"/>
      <c r="AQ6" s="5"/>
      <c r="AR6" s="6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5"/>
      <c r="BM6" s="6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5"/>
      <c r="CR6" s="6"/>
      <c r="CS6" s="4"/>
      <c r="CT6" s="4"/>
      <c r="CU6" s="4"/>
      <c r="CV6" s="4"/>
      <c r="CW6" s="4"/>
      <c r="CX6" s="4"/>
      <c r="CY6" s="4"/>
      <c r="CZ6" s="4"/>
      <c r="DA6" s="4"/>
      <c r="DB6" s="5"/>
      <c r="DC6" s="6"/>
      <c r="DD6" s="4"/>
      <c r="DE6" s="4"/>
      <c r="DF6" s="4"/>
      <c r="DG6" s="6"/>
      <c r="DH6" s="5"/>
      <c r="DI6" s="6"/>
      <c r="DJ6" s="4"/>
      <c r="DK6" s="4"/>
      <c r="DL6" s="4"/>
      <c r="DM6" s="4"/>
      <c r="DN6" s="4"/>
      <c r="DO6" s="4"/>
      <c r="DP6" s="4"/>
      <c r="DQ6" s="6"/>
      <c r="DR6" s="5"/>
      <c r="DS6" s="6"/>
      <c r="DT6" s="4"/>
      <c r="DU6" s="6"/>
      <c r="DV6" s="5"/>
      <c r="DW6" s="6"/>
      <c r="DX6" s="4"/>
      <c r="DY6" s="6"/>
      <c r="DZ6" s="5"/>
      <c r="EA6" s="6"/>
      <c r="EB6" s="6" t="b">
        <v>1</v>
      </c>
      <c r="EC6" s="6"/>
      <c r="ED6" s="6"/>
      <c r="EE6" s="6"/>
      <c r="EF6" s="6"/>
      <c r="EG6" s="6"/>
      <c r="EH6" s="6"/>
      <c r="EI6" s="6"/>
      <c r="EJ6" s="6"/>
      <c r="EK6" s="6"/>
      <c r="EL6" s="6"/>
      <c r="EM6" s="6"/>
      <c r="EN6" s="6"/>
      <c r="EO6" s="6"/>
      <c r="EP6" s="6"/>
      <c r="EQ6" s="6"/>
      <c r="ER6" s="6"/>
      <c r="ES6" s="6"/>
      <c r="ET6" s="6"/>
      <c r="EU6" s="6"/>
      <c r="EV6" s="6"/>
      <c r="EW6" s="6"/>
      <c r="EX6" s="6"/>
      <c r="EY6" s="6"/>
      <c r="EZ6" s="15" t="str">
        <f>IF(COUNTA(Register[[#This Row],[Ethics - CAHS Complete]:[Ethics - Others Complete]])=0, "",IF(COUNTIF(Register[[#This Row],[Ethics - CAHS Complete]:[Ethics - Others Complete]],TRUE)&gt;0,TRUE,FALSE))</f>
        <v/>
      </c>
      <c r="FA6" s="6" t="str">
        <f>IF(COUNTA(Register[[#This Row],[Gov - PCH Complete]:[Gov - Others Complete]])=0,"",IF(COUNTIF(Register[[#This Row],[Gov - PCH Complete]:[Gov - Others Complete]],TRUE)&gt;0,TRUE,FALSE))</f>
        <v/>
      </c>
      <c r="FB6" s="6" t="str">
        <f>IF(COUNTA(Register[[#This Row],[Budget - VTG Complete]:[Budget - Pharmacy Complete]])=0,"",IF(COUNTIF(Register[[#This Row],[Budget - VTG Complete]:[Budget - Pharmacy Complete]],TRUE)=3,TRUE,FALSE))</f>
        <v/>
      </c>
      <c r="FC6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6" s="15">
        <f t="array" ref="FD6">IFERROR(MATCH(FALSE,Register[[#This Row],[Study Details Complete]:[SIV Complete]],0),IFERROR(MATCH(TRUE,ISBLANK(Register[[#This Row],[Study Details Complete]:[SIV Complete]]),0),1))</f>
        <v>2</v>
      </c>
    </row>
    <row r="7" spans="4:160" x14ac:dyDescent="0.25">
      <c r="D7" s="5">
        <v>44452.374467592592</v>
      </c>
      <c r="E7" s="6" t="s">
        <v>173</v>
      </c>
      <c r="F7" s="5"/>
      <c r="G7" s="6"/>
      <c r="H7" s="5">
        <v>44475.264293981483</v>
      </c>
      <c r="I7" s="6" t="s">
        <v>173</v>
      </c>
      <c r="J7" s="4" t="s">
        <v>174</v>
      </c>
      <c r="K7" s="4" t="s">
        <v>181</v>
      </c>
      <c r="L7" s="4" t="s">
        <v>182</v>
      </c>
      <c r="M7" s="4" t="s">
        <v>183</v>
      </c>
      <c r="N7" s="4" t="s">
        <v>184</v>
      </c>
      <c r="O7" s="4"/>
      <c r="P7" s="7" t="s">
        <v>185</v>
      </c>
      <c r="Q7" s="5">
        <v>44468.902939814812</v>
      </c>
      <c r="R7" s="6" t="s">
        <v>173</v>
      </c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6"/>
      <c r="AE7" s="5"/>
      <c r="AF7" s="6"/>
      <c r="AG7" s="4"/>
      <c r="AH7" s="4"/>
      <c r="AI7" s="4"/>
      <c r="AJ7" s="4"/>
      <c r="AK7" s="4"/>
      <c r="AL7" s="6"/>
      <c r="AM7" s="5"/>
      <c r="AN7" s="6"/>
      <c r="AO7" s="4"/>
      <c r="AP7" s="6"/>
      <c r="AQ7" s="5"/>
      <c r="AR7" s="6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5"/>
      <c r="BM7" s="6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5"/>
      <c r="CR7" s="6"/>
      <c r="CS7" s="4"/>
      <c r="CT7" s="4"/>
      <c r="CU7" s="4"/>
      <c r="CV7" s="4"/>
      <c r="CW7" s="4"/>
      <c r="CX7" s="4"/>
      <c r="CY7" s="4"/>
      <c r="CZ7" s="4"/>
      <c r="DA7" s="4"/>
      <c r="DB7" s="5"/>
      <c r="DC7" s="6"/>
      <c r="DD7" s="4"/>
      <c r="DE7" s="4"/>
      <c r="DF7" s="4"/>
      <c r="DG7" s="6"/>
      <c r="DH7" s="5"/>
      <c r="DI7" s="6"/>
      <c r="DJ7" s="4"/>
      <c r="DK7" s="4"/>
      <c r="DL7" s="4"/>
      <c r="DM7" s="4"/>
      <c r="DN7" s="4"/>
      <c r="DO7" s="4"/>
      <c r="DP7" s="4"/>
      <c r="DQ7" s="6"/>
      <c r="DR7" s="5"/>
      <c r="DS7" s="6"/>
      <c r="DT7" s="4"/>
      <c r="DU7" s="6"/>
      <c r="DV7" s="5"/>
      <c r="DW7" s="6"/>
      <c r="DX7" s="4"/>
      <c r="DY7" s="6"/>
      <c r="DZ7" s="5"/>
      <c r="EA7" s="6"/>
      <c r="EB7" s="6" t="b">
        <v>0</v>
      </c>
      <c r="EC7" s="6"/>
      <c r="ED7" s="6"/>
      <c r="EE7" s="6"/>
      <c r="EF7" s="6"/>
      <c r="EG7" s="6"/>
      <c r="EH7" s="6"/>
      <c r="EI7" s="6"/>
      <c r="EJ7" s="6"/>
      <c r="EK7" s="6"/>
      <c r="EL7" s="6"/>
      <c r="EM7" s="6"/>
      <c r="EN7" s="6"/>
      <c r="EO7" s="6"/>
      <c r="EP7" s="6"/>
      <c r="EQ7" s="6"/>
      <c r="ER7" s="6"/>
      <c r="ES7" s="6"/>
      <c r="ET7" s="6"/>
      <c r="EU7" s="6"/>
      <c r="EV7" s="6"/>
      <c r="EW7" s="6"/>
      <c r="EX7" s="6"/>
      <c r="EY7" s="6"/>
      <c r="EZ7" s="15" t="str">
        <f>IF(COUNTA(Register[[#This Row],[Ethics - CAHS Complete]:[Ethics - Others Complete]])=0, "",IF(COUNTIF(Register[[#This Row],[Ethics - CAHS Complete]:[Ethics - Others Complete]],TRUE)&gt;0,TRUE,FALSE))</f>
        <v/>
      </c>
      <c r="FA7" s="6" t="str">
        <f>IF(COUNTA(Register[[#This Row],[Gov - PCH Complete]:[Gov - Others Complete]])=0,"",IF(COUNTIF(Register[[#This Row],[Gov - PCH Complete]:[Gov - Others Complete]],TRUE)&gt;0,TRUE,FALSE))</f>
        <v/>
      </c>
      <c r="FB7" s="6" t="str">
        <f>IF(COUNTA(Register[[#This Row],[Budget - VTG Complete]:[Budget - Pharmacy Complete]])=0,"",IF(COUNTIF(Register[[#This Row],[Budget - VTG Complete]:[Budget - Pharmacy Complete]],TRUE)=3,TRUE,FALSE))</f>
        <v/>
      </c>
      <c r="FC7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7" s="15">
        <f t="array" ref="FD7">IFERROR(MATCH(FALSE,Register[[#This Row],[Study Details Complete]:[SIV Complete]],0),IFERROR(MATCH(TRUE,ISBLANK(Register[[#This Row],[Study Details Complete]:[SIV Complete]]),0),1))</f>
        <v>1</v>
      </c>
    </row>
    <row r="8" spans="4:160" x14ac:dyDescent="0.25">
      <c r="D8" s="5">
        <v>44452.375509259262</v>
      </c>
      <c r="E8" s="6" t="s">
        <v>173</v>
      </c>
      <c r="F8" s="5">
        <v>44452.377384259256</v>
      </c>
      <c r="G8" s="6" t="s">
        <v>173</v>
      </c>
      <c r="H8" s="5">
        <v>44466.442152777781</v>
      </c>
      <c r="I8" s="6" t="s">
        <v>173</v>
      </c>
      <c r="J8" s="4" t="s">
        <v>186</v>
      </c>
      <c r="K8" s="4" t="s">
        <v>187</v>
      </c>
      <c r="L8" s="4" t="s">
        <v>188</v>
      </c>
      <c r="M8" s="4" t="s">
        <v>189</v>
      </c>
      <c r="N8" s="4" t="s">
        <v>190</v>
      </c>
      <c r="O8" s="4"/>
      <c r="P8" s="7"/>
      <c r="Q8" s="5">
        <v>44452.38113425926</v>
      </c>
      <c r="R8" s="6" t="s">
        <v>173</v>
      </c>
      <c r="S8" s="18">
        <v>43840</v>
      </c>
      <c r="T8" s="4" t="s">
        <v>191</v>
      </c>
      <c r="U8" s="4" t="s">
        <v>192</v>
      </c>
      <c r="V8" s="18">
        <v>43850</v>
      </c>
      <c r="W8" s="4"/>
      <c r="X8" s="4"/>
      <c r="Y8" s="4"/>
      <c r="Z8" s="4"/>
      <c r="AA8" s="4"/>
      <c r="AB8" s="4"/>
      <c r="AC8" s="4"/>
      <c r="AD8" s="6"/>
      <c r="AE8" s="5">
        <v>44452.37909722222</v>
      </c>
      <c r="AF8" s="6" t="s">
        <v>173</v>
      </c>
      <c r="AG8" s="4"/>
      <c r="AH8" s="4"/>
      <c r="AI8" s="4"/>
      <c r="AJ8" s="4"/>
      <c r="AK8" s="4"/>
      <c r="AL8" s="6"/>
      <c r="AM8" s="5"/>
      <c r="AN8" s="6"/>
      <c r="AO8" s="4"/>
      <c r="AP8" s="6"/>
      <c r="AQ8" s="5"/>
      <c r="AR8" s="6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5"/>
      <c r="BM8" s="6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5"/>
      <c r="CR8" s="6"/>
      <c r="CS8" s="4"/>
      <c r="CT8" s="4"/>
      <c r="CU8" s="4"/>
      <c r="CV8" s="4"/>
      <c r="CW8" s="4"/>
      <c r="CX8" s="4"/>
      <c r="CY8" s="4"/>
      <c r="CZ8" s="4"/>
      <c r="DA8" s="4"/>
      <c r="DB8" s="5"/>
      <c r="DC8" s="6"/>
      <c r="DD8" s="4"/>
      <c r="DE8" s="4"/>
      <c r="DF8" s="4"/>
      <c r="DG8" s="6"/>
      <c r="DH8" s="5"/>
      <c r="DI8" s="6"/>
      <c r="DJ8" s="4"/>
      <c r="DK8" s="4"/>
      <c r="DL8" s="4"/>
      <c r="DM8" s="4"/>
      <c r="DN8" s="4"/>
      <c r="DO8" s="4"/>
      <c r="DP8" s="4"/>
      <c r="DQ8" s="6"/>
      <c r="DR8" s="5"/>
      <c r="DS8" s="6"/>
      <c r="DT8" s="4"/>
      <c r="DU8" s="6"/>
      <c r="DV8" s="5"/>
      <c r="DW8" s="6"/>
      <c r="DX8" s="4"/>
      <c r="DY8" s="6"/>
      <c r="DZ8" s="5"/>
      <c r="EA8" s="6"/>
      <c r="EB8" s="6"/>
      <c r="EC8" s="6"/>
      <c r="ED8" s="6"/>
      <c r="EE8" s="6"/>
      <c r="EF8" s="6"/>
      <c r="EG8" s="6"/>
      <c r="EH8" s="6"/>
      <c r="EI8" s="6"/>
      <c r="EJ8" s="6"/>
      <c r="EK8" s="6"/>
      <c r="EL8" s="6"/>
      <c r="EM8" s="6"/>
      <c r="EN8" s="6"/>
      <c r="EO8" s="6"/>
      <c r="EP8" s="6"/>
      <c r="EQ8" s="6"/>
      <c r="ER8" s="6"/>
      <c r="ES8" s="6"/>
      <c r="ET8" s="6"/>
      <c r="EU8" s="6"/>
      <c r="EV8" s="6"/>
      <c r="EW8" s="6"/>
      <c r="EX8" s="6"/>
      <c r="EY8" s="6"/>
      <c r="EZ8" s="15" t="str">
        <f>IF(COUNTA(Register[[#This Row],[Ethics - CAHS Complete]:[Ethics - Others Complete]])=0, "",IF(COUNTIF(Register[[#This Row],[Ethics - CAHS Complete]:[Ethics - Others Complete]],TRUE)&gt;0,TRUE,FALSE))</f>
        <v/>
      </c>
      <c r="FA8" s="6" t="str">
        <f>IF(COUNTA(Register[[#This Row],[Gov - PCH Complete]:[Gov - Others Complete]])=0,"",IF(COUNTIF(Register[[#This Row],[Gov - PCH Complete]:[Gov - Others Complete]],TRUE)&gt;0,TRUE,FALSE))</f>
        <v/>
      </c>
      <c r="FB8" s="6" t="str">
        <f>IF(COUNTA(Register[[#This Row],[Budget - VTG Complete]:[Budget - Pharmacy Complete]])=0,"",IF(COUNTIF(Register[[#This Row],[Budget - VTG Complete]:[Budget - Pharmacy Complete]],TRUE)=3,TRUE,FALSE))</f>
        <v/>
      </c>
      <c r="FC8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8" s="15">
        <f t="array" ref="FD8">IFERROR(MATCH(FALSE,Register[[#This Row],[Study Details Complete]:[SIV Complete]],0),IFERROR(MATCH(TRUE,ISBLANK(Register[[#This Row],[Study Details Complete]:[SIV Complete]]),0),1))</f>
        <v>1</v>
      </c>
    </row>
    <row r="9" spans="4:160" x14ac:dyDescent="0.25">
      <c r="D9" s="5">
        <v>44452.381851851853</v>
      </c>
      <c r="E9" s="6" t="s">
        <v>173</v>
      </c>
      <c r="F9" s="5"/>
      <c r="G9" s="6"/>
      <c r="H9" s="5">
        <v>44477.445381944446</v>
      </c>
      <c r="I9" s="6" t="s">
        <v>173</v>
      </c>
      <c r="J9" s="4" t="s">
        <v>174</v>
      </c>
      <c r="K9" s="4" t="s">
        <v>194</v>
      </c>
      <c r="L9" s="4" t="s">
        <v>195</v>
      </c>
      <c r="M9" s="4" t="s">
        <v>196</v>
      </c>
      <c r="N9" s="4" t="s">
        <v>197</v>
      </c>
      <c r="O9" s="4" t="s">
        <v>198</v>
      </c>
      <c r="P9" s="66" t="s">
        <v>324</v>
      </c>
      <c r="Q9" s="5">
        <v>44477.423634259256</v>
      </c>
      <c r="R9" s="6" t="s">
        <v>173</v>
      </c>
      <c r="S9" s="18">
        <v>43840</v>
      </c>
      <c r="T9" s="18">
        <v>43842</v>
      </c>
      <c r="U9" s="18">
        <v>43863</v>
      </c>
      <c r="V9" s="18">
        <v>43891</v>
      </c>
      <c r="W9" s="18">
        <v>43921</v>
      </c>
      <c r="X9" s="67" t="s">
        <v>324</v>
      </c>
      <c r="Y9" s="18">
        <v>44477.423379629632</v>
      </c>
      <c r="Z9" s="18" t="s">
        <v>173</v>
      </c>
      <c r="AA9" s="18">
        <v>43845</v>
      </c>
      <c r="AB9" s="18">
        <v>43921</v>
      </c>
      <c r="AC9" s="4" t="s">
        <v>199</v>
      </c>
      <c r="AD9" s="68" t="s">
        <v>322</v>
      </c>
      <c r="AE9" s="5">
        <v>44477.389270833337</v>
      </c>
      <c r="AF9" s="6" t="s">
        <v>173</v>
      </c>
      <c r="AG9" s="18">
        <v>43910</v>
      </c>
      <c r="AH9" s="4" t="s">
        <v>200</v>
      </c>
      <c r="AI9" s="18">
        <v>43917</v>
      </c>
      <c r="AJ9" s="4" t="s">
        <v>201</v>
      </c>
      <c r="AK9" s="18">
        <v>43922</v>
      </c>
      <c r="AL9" s="68" t="s">
        <v>322</v>
      </c>
      <c r="AM9" s="5">
        <v>44477.389305555553</v>
      </c>
      <c r="AN9" s="6" t="s">
        <v>173</v>
      </c>
      <c r="AO9" s="18">
        <v>43926</v>
      </c>
      <c r="AP9" s="68" t="s">
        <v>322</v>
      </c>
      <c r="AQ9" s="5">
        <v>44477.389328703706</v>
      </c>
      <c r="AR9" s="6" t="s">
        <v>173</v>
      </c>
      <c r="AS9" s="18">
        <v>43983</v>
      </c>
      <c r="AT9" s="18">
        <v>44440</v>
      </c>
      <c r="AU9" s="18">
        <v>44228</v>
      </c>
      <c r="AV9" s="18">
        <v>44012</v>
      </c>
      <c r="AW9" s="67" t="s">
        <v>322</v>
      </c>
      <c r="AX9" s="4" t="s">
        <v>202</v>
      </c>
      <c r="AY9" s="18">
        <v>43831</v>
      </c>
      <c r="AZ9" s="18">
        <v>43856</v>
      </c>
      <c r="BA9" s="67" t="s">
        <v>322</v>
      </c>
      <c r="BB9" s="18">
        <v>43850</v>
      </c>
      <c r="BC9" s="18">
        <v>43854</v>
      </c>
      <c r="BD9" s="67" t="s">
        <v>322</v>
      </c>
      <c r="BE9" s="4"/>
      <c r="BF9" s="4"/>
      <c r="BG9" s="4"/>
      <c r="BH9" s="4"/>
      <c r="BI9" s="18"/>
      <c r="BJ9" s="4"/>
      <c r="BK9" s="4"/>
      <c r="BL9" s="5">
        <v>44477.389409722222</v>
      </c>
      <c r="BM9" s="6" t="s">
        <v>173</v>
      </c>
      <c r="BN9" s="18">
        <v>43983</v>
      </c>
      <c r="BO9" s="18">
        <v>43956</v>
      </c>
      <c r="BP9" s="18">
        <v>44083</v>
      </c>
      <c r="BQ9" s="67" t="s">
        <v>322</v>
      </c>
      <c r="BR9" s="18">
        <v>44013</v>
      </c>
      <c r="BS9" s="18">
        <v>44017</v>
      </c>
      <c r="BT9" s="18">
        <v>44044</v>
      </c>
      <c r="BU9" s="67" t="s">
        <v>322</v>
      </c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5">
        <v>44477.389490740738</v>
      </c>
      <c r="CR9" s="6" t="s">
        <v>173</v>
      </c>
      <c r="CS9" s="18">
        <v>44044</v>
      </c>
      <c r="CT9" s="18">
        <v>44058</v>
      </c>
      <c r="CU9" s="18">
        <v>44075</v>
      </c>
      <c r="CV9" s="67" t="s">
        <v>322</v>
      </c>
      <c r="CW9" s="18">
        <v>44079</v>
      </c>
      <c r="CX9" s="67" t="s">
        <v>322</v>
      </c>
      <c r="CY9" s="18">
        <v>44044</v>
      </c>
      <c r="CZ9" s="18">
        <v>44104</v>
      </c>
      <c r="DA9" s="67" t="s">
        <v>322</v>
      </c>
      <c r="DB9" s="5">
        <v>44477.389652777776</v>
      </c>
      <c r="DC9" s="6" t="s">
        <v>173</v>
      </c>
      <c r="DD9" s="18">
        <v>44136</v>
      </c>
      <c r="DE9" s="18">
        <v>44136</v>
      </c>
      <c r="DF9" s="18">
        <v>44197</v>
      </c>
      <c r="DG9" s="68" t="s">
        <v>322</v>
      </c>
      <c r="DH9" s="5">
        <v>44477.389525462961</v>
      </c>
      <c r="DI9" s="6" t="s">
        <v>173</v>
      </c>
      <c r="DJ9" s="18">
        <v>43952</v>
      </c>
      <c r="DK9" s="18">
        <v>43954</v>
      </c>
      <c r="DL9" s="18">
        <v>43955</v>
      </c>
      <c r="DM9" s="18">
        <v>43957</v>
      </c>
      <c r="DN9" s="18">
        <v>43957</v>
      </c>
      <c r="DO9" s="18">
        <v>43958</v>
      </c>
      <c r="DP9" s="18">
        <v>43959</v>
      </c>
      <c r="DQ9" s="68" t="s">
        <v>322</v>
      </c>
      <c r="DR9" s="5">
        <v>44477.389594907407</v>
      </c>
      <c r="DS9" s="6" t="s">
        <v>173</v>
      </c>
      <c r="DT9" s="18">
        <v>44124</v>
      </c>
      <c r="DU9" s="68" t="s">
        <v>322</v>
      </c>
      <c r="DV9" s="5">
        <v>44477.389687499999</v>
      </c>
      <c r="DW9" s="6" t="s">
        <v>173</v>
      </c>
      <c r="DX9" s="18">
        <v>44593</v>
      </c>
      <c r="DY9" s="68" t="s">
        <v>322</v>
      </c>
      <c r="DZ9" s="5">
        <v>44477.389756944445</v>
      </c>
      <c r="EA9" s="6" t="s">
        <v>173</v>
      </c>
      <c r="EB9" s="6" t="b">
        <v>1</v>
      </c>
      <c r="EC9" s="6" t="b">
        <v>1</v>
      </c>
      <c r="ED9" s="6" t="b">
        <v>1</v>
      </c>
      <c r="EE9" s="6" t="b">
        <v>1</v>
      </c>
      <c r="EF9" s="6" t="b">
        <v>1</v>
      </c>
      <c r="EG9" s="6" t="b">
        <v>1</v>
      </c>
      <c r="EH9" s="6" t="b">
        <v>1</v>
      </c>
      <c r="EI9" s="6" t="b">
        <v>1</v>
      </c>
      <c r="EJ9" s="6"/>
      <c r="EK9" s="6"/>
      <c r="EL9" s="6" t="b">
        <v>1</v>
      </c>
      <c r="EM9" s="6" t="b">
        <v>1</v>
      </c>
      <c r="EN9" s="6"/>
      <c r="EO9" s="6"/>
      <c r="EP9" s="6"/>
      <c r="EQ9" s="6"/>
      <c r="ER9" s="6"/>
      <c r="ES9" s="6" t="b">
        <v>1</v>
      </c>
      <c r="ET9" s="6" t="b">
        <v>1</v>
      </c>
      <c r="EU9" s="6" t="b">
        <v>1</v>
      </c>
      <c r="EV9" s="6" t="b">
        <v>1</v>
      </c>
      <c r="EW9" s="6" t="b">
        <v>1</v>
      </c>
      <c r="EX9" s="6" t="b">
        <v>1</v>
      </c>
      <c r="EY9" s="6" t="b">
        <v>1</v>
      </c>
      <c r="EZ9" s="15" t="b">
        <f>IF(COUNTA(Register[[#This Row],[Ethics - CAHS Complete]:[Ethics - Others Complete]])=0, "",IF(COUNTIF(Register[[#This Row],[Ethics - CAHS Complete]:[Ethics - Others Complete]],TRUE)&gt;0,TRUE,FALSE))</f>
        <v>1</v>
      </c>
      <c r="FA9" s="6" t="b">
        <f>IF(COUNTA(Register[[#This Row],[Gov - PCH Complete]:[Gov - Others Complete]])=0,"",IF(COUNTIF(Register[[#This Row],[Gov - PCH Complete]:[Gov - Others Complete]],TRUE)&gt;0,TRUE,FALSE))</f>
        <v>1</v>
      </c>
      <c r="FB9" s="6" t="b">
        <f>IF(COUNTA(Register[[#This Row],[Budget - VTG Complete]:[Budget - Pharmacy Complete]])=0,"",IF(COUNTIF(Register[[#This Row],[Budget - VTG Complete]:[Budget - Pharmacy Complete]],TRUE)=3,TRUE,FALSE))</f>
        <v>1</v>
      </c>
      <c r="FC9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1</v>
      </c>
      <c r="FD9" s="15">
        <f t="array" ref="FD9">IFERROR(MATCH(FALSE,Register[[#This Row],[Study Details Complete]:[SIV Complete]],0),IFERROR(MATCH(TRUE,ISBLANK(Register[[#This Row],[Study Details Complete]:[SIV Complete]]),0),1))</f>
        <v>9</v>
      </c>
    </row>
    <row r="10" spans="4:160" x14ac:dyDescent="0.25">
      <c r="D10" s="5">
        <v>44473.627581018518</v>
      </c>
      <c r="E10" s="6" t="s">
        <v>271</v>
      </c>
      <c r="F10" s="5"/>
      <c r="G10" s="6"/>
      <c r="H10" s="5">
        <v>44477.390972222223</v>
      </c>
      <c r="I10" s="6" t="s">
        <v>173</v>
      </c>
      <c r="J10" s="4" t="s">
        <v>323</v>
      </c>
      <c r="K10" s="4">
        <v>212171</v>
      </c>
      <c r="L10" s="4" t="s">
        <v>272</v>
      </c>
      <c r="M10" s="4" t="s">
        <v>193</v>
      </c>
      <c r="N10" s="4" t="s">
        <v>193</v>
      </c>
      <c r="O10" s="4" t="s">
        <v>273</v>
      </c>
      <c r="P10" s="7"/>
      <c r="Q10" s="5">
        <v>44475.231874999998</v>
      </c>
      <c r="R10" s="6" t="s">
        <v>173</v>
      </c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4"/>
      <c r="AD10" s="6"/>
      <c r="AE10" s="5"/>
      <c r="AF10" s="6"/>
      <c r="AG10" s="18"/>
      <c r="AH10" s="4"/>
      <c r="AI10" s="18"/>
      <c r="AJ10" s="4"/>
      <c r="AK10" s="18"/>
      <c r="AL10" s="6"/>
      <c r="AM10" s="5"/>
      <c r="AN10" s="6"/>
      <c r="AO10" s="18"/>
      <c r="AP10" s="6"/>
      <c r="AQ10" s="5"/>
      <c r="AR10" s="6"/>
      <c r="AS10" s="18"/>
      <c r="AT10" s="18"/>
      <c r="AU10" s="18"/>
      <c r="AV10" s="18"/>
      <c r="AW10" s="18"/>
      <c r="AX10" s="4"/>
      <c r="AY10" s="18"/>
      <c r="AZ10" s="18"/>
      <c r="BA10" s="18"/>
      <c r="BB10" s="18"/>
      <c r="BC10" s="18">
        <v>44342</v>
      </c>
      <c r="BD10" s="18"/>
      <c r="BE10" s="4"/>
      <c r="BF10" s="18">
        <v>44358</v>
      </c>
      <c r="BG10" s="4"/>
      <c r="BH10" s="4"/>
      <c r="BI10" s="18"/>
      <c r="BJ10" s="4"/>
      <c r="BK10" s="4"/>
      <c r="BL10" s="5">
        <v>44473.628657407404</v>
      </c>
      <c r="BM10" s="6" t="s">
        <v>271</v>
      </c>
      <c r="BN10" s="18"/>
      <c r="BO10" s="18"/>
      <c r="BP10" s="18">
        <v>44352</v>
      </c>
      <c r="BQ10" s="18"/>
      <c r="BR10" s="18"/>
      <c r="BS10" s="18"/>
      <c r="BT10" s="18">
        <v>44356</v>
      </c>
      <c r="BU10" s="18"/>
      <c r="BV10" s="4"/>
      <c r="BW10" s="4"/>
      <c r="BX10" s="4"/>
      <c r="BY10" s="4" t="s">
        <v>274</v>
      </c>
      <c r="BZ10" s="4"/>
      <c r="CA10" s="4"/>
      <c r="CB10" s="4"/>
      <c r="CC10" s="4" t="s">
        <v>274</v>
      </c>
      <c r="CD10" s="4"/>
      <c r="CE10" s="4"/>
      <c r="CF10" s="18">
        <v>44382</v>
      </c>
      <c r="CG10" s="4"/>
      <c r="CH10" s="4"/>
      <c r="CI10" s="4"/>
      <c r="CJ10" s="4"/>
      <c r="CK10" s="4" t="s">
        <v>275</v>
      </c>
      <c r="CL10" s="4" t="s">
        <v>276</v>
      </c>
      <c r="CM10" s="4"/>
      <c r="CN10" s="4"/>
      <c r="CO10" s="4"/>
      <c r="CP10" s="4" t="s">
        <v>277</v>
      </c>
      <c r="CQ10" s="5">
        <v>44473.629826388889</v>
      </c>
      <c r="CR10" s="6" t="s">
        <v>271</v>
      </c>
      <c r="CS10" s="18"/>
      <c r="CT10" s="18"/>
      <c r="CU10" s="18"/>
      <c r="CV10" s="18"/>
      <c r="CW10" s="18"/>
      <c r="CX10" s="18"/>
      <c r="CY10" s="18"/>
      <c r="CZ10" s="18"/>
      <c r="DA10" s="18" t="s">
        <v>279</v>
      </c>
      <c r="DB10" s="5">
        <v>44473.630543981482</v>
      </c>
      <c r="DC10" s="6" t="s">
        <v>271</v>
      </c>
      <c r="DD10" s="18"/>
      <c r="DE10" s="18"/>
      <c r="DF10" s="18"/>
      <c r="DG10" s="6" t="s">
        <v>278</v>
      </c>
      <c r="DH10" s="5">
        <v>44473.630115740743</v>
      </c>
      <c r="DI10" s="6" t="s">
        <v>271</v>
      </c>
      <c r="DJ10" s="18"/>
      <c r="DK10" s="18"/>
      <c r="DL10" s="18"/>
      <c r="DM10" s="18"/>
      <c r="DN10" s="18"/>
      <c r="DO10" s="18"/>
      <c r="DP10" s="18"/>
      <c r="DQ10" s="6" t="s">
        <v>280</v>
      </c>
      <c r="DR10" s="5">
        <v>44473.630659722221</v>
      </c>
      <c r="DS10" s="6" t="s">
        <v>271</v>
      </c>
      <c r="DT10" s="18"/>
      <c r="DU10" s="6" t="s">
        <v>281</v>
      </c>
      <c r="DV10" s="5">
        <v>44473.630729166667</v>
      </c>
      <c r="DW10" s="6" t="s">
        <v>271</v>
      </c>
      <c r="DX10" s="18">
        <v>44397</v>
      </c>
      <c r="DY10" s="6"/>
      <c r="DZ10" s="5">
        <v>44473.630891203706</v>
      </c>
      <c r="EA10" s="6" t="s">
        <v>271</v>
      </c>
      <c r="EB10" s="15" t="b">
        <v>1</v>
      </c>
      <c r="EC10" s="15"/>
      <c r="ED10" s="15"/>
      <c r="EE10" s="15"/>
      <c r="EF10" s="15"/>
      <c r="EG10" s="15"/>
      <c r="EH10" s="6"/>
      <c r="EI10" s="6" t="b">
        <v>0</v>
      </c>
      <c r="EJ10" s="6" t="b">
        <v>0</v>
      </c>
      <c r="EK10" s="6"/>
      <c r="EL10" s="6" t="b">
        <v>0</v>
      </c>
      <c r="EM10" s="6" t="b">
        <v>0</v>
      </c>
      <c r="EN10" s="6"/>
      <c r="EO10" s="6"/>
      <c r="EP10" s="6" t="b">
        <v>0</v>
      </c>
      <c r="EQ10" s="6"/>
      <c r="ER10" s="6" t="b">
        <v>0</v>
      </c>
      <c r="ES10" s="6"/>
      <c r="ET10" s="6"/>
      <c r="EU10" s="6"/>
      <c r="EV10" s="6"/>
      <c r="EW10" s="6"/>
      <c r="EX10" s="6"/>
      <c r="EY10" s="6" t="b">
        <v>1</v>
      </c>
      <c r="EZ10" s="15" t="b">
        <f>IF(COUNTA(Register[[#This Row],[Ethics - CAHS Complete]:[Ethics - Others Complete]])=0, "",IF(COUNTIF(Register[[#This Row],[Ethics - CAHS Complete]:[Ethics - Others Complete]],TRUE)&gt;0,TRUE,FALSE))</f>
        <v>0</v>
      </c>
      <c r="FA10" s="15" t="b">
        <f>IF(COUNTA(Register[[#This Row],[Gov - PCH Complete]:[Gov - Others Complete]])=0,"",IF(COUNTIF(Register[[#This Row],[Gov - PCH Complete]:[Gov - Others Complete]],TRUE)&gt;0,TRUE,FALSE))</f>
        <v>0</v>
      </c>
      <c r="FB10" s="15" t="str">
        <f>IF(COUNTA(Register[[#This Row],[Budget - VTG Complete]:[Budget - Pharmacy Complete]])=0,"",IF(COUNTIF(Register[[#This Row],[Budget - VTG Complete]:[Budget - Pharmacy Complete]],TRUE)=3,TRUE,FALSE))</f>
        <v/>
      </c>
      <c r="FC10" s="15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10" s="15">
        <f t="array" ref="FD10">IFERROR(MATCH(FALSE,Register[[#This Row],[Study Details Complete]:[SIV Complete]],0),IFERROR(MATCH(TRUE,ISBLANK(Register[[#This Row],[Study Details Complete]:[SIV Complete]]),0),1))</f>
        <v>8</v>
      </c>
    </row>
    <row r="11" spans="4:160" x14ac:dyDescent="0.25">
      <c r="D11" s="5">
        <v>44473.632164351853</v>
      </c>
      <c r="E11" s="6" t="s">
        <v>271</v>
      </c>
      <c r="F11" s="5"/>
      <c r="G11" s="6"/>
      <c r="H11" s="5">
        <v>44475.232025462959</v>
      </c>
      <c r="I11" s="6" t="s">
        <v>173</v>
      </c>
      <c r="J11" s="4" t="s">
        <v>291</v>
      </c>
      <c r="K11" s="4" t="s">
        <v>292</v>
      </c>
      <c r="L11" s="4" t="s">
        <v>293</v>
      </c>
      <c r="M11" s="4" t="s">
        <v>189</v>
      </c>
      <c r="N11" s="4" t="s">
        <v>294</v>
      </c>
      <c r="O11" s="4" t="s">
        <v>295</v>
      </c>
      <c r="P11" s="7"/>
      <c r="Q11" s="5">
        <v>44475.231990740744</v>
      </c>
      <c r="R11" s="6" t="s">
        <v>173</v>
      </c>
      <c r="S11" s="18">
        <v>44013</v>
      </c>
      <c r="T11" s="18">
        <v>44014</v>
      </c>
      <c r="U11" s="18">
        <v>44015</v>
      </c>
      <c r="V11" s="18">
        <v>44016</v>
      </c>
      <c r="W11" s="18">
        <v>44017</v>
      </c>
      <c r="X11" s="18"/>
      <c r="Y11" s="18">
        <v>44473.636064814818</v>
      </c>
      <c r="Z11" s="18" t="s">
        <v>271</v>
      </c>
      <c r="AA11" s="18">
        <v>44018</v>
      </c>
      <c r="AB11" s="18">
        <v>44019</v>
      </c>
      <c r="AC11" s="18"/>
      <c r="AD11" s="6"/>
      <c r="AE11" s="5">
        <v>44473.636203703703</v>
      </c>
      <c r="AF11" s="6" t="s">
        <v>271</v>
      </c>
      <c r="AG11" s="18"/>
      <c r="AH11" s="4"/>
      <c r="AI11" s="18"/>
      <c r="AJ11" s="4"/>
      <c r="AK11" s="18"/>
      <c r="AL11" s="6"/>
      <c r="AM11" s="5"/>
      <c r="AN11" s="6"/>
      <c r="AO11" s="18"/>
      <c r="AP11" s="6"/>
      <c r="AQ11" s="5"/>
      <c r="AR11" s="6"/>
      <c r="AS11" s="18"/>
      <c r="AT11" s="18"/>
      <c r="AU11" s="18"/>
      <c r="AV11" s="18"/>
      <c r="AW11" s="18"/>
      <c r="AX11" s="4" t="s">
        <v>296</v>
      </c>
      <c r="AY11" s="18"/>
      <c r="AZ11" s="18">
        <v>44027</v>
      </c>
      <c r="BA11" s="18"/>
      <c r="BB11" s="18"/>
      <c r="BC11" s="18"/>
      <c r="BD11" s="18"/>
      <c r="BE11" s="18">
        <v>44021</v>
      </c>
      <c r="BF11" s="18">
        <v>44028</v>
      </c>
      <c r="BG11" s="4"/>
      <c r="BH11" s="4"/>
      <c r="BI11" s="18"/>
      <c r="BJ11" s="4"/>
      <c r="BK11" s="4"/>
      <c r="BL11" s="5">
        <v>44473.636608796296</v>
      </c>
      <c r="BM11" s="6" t="s">
        <v>271</v>
      </c>
      <c r="BN11" s="18"/>
      <c r="BO11" s="18"/>
      <c r="BP11" s="18"/>
      <c r="BQ11" s="18"/>
      <c r="BR11" s="18"/>
      <c r="BS11" s="18"/>
      <c r="BT11" s="18"/>
      <c r="BU11" s="18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18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5"/>
      <c r="CR11" s="6"/>
      <c r="CS11" s="18"/>
      <c r="CT11" s="18"/>
      <c r="CU11" s="18"/>
      <c r="CV11" s="18"/>
      <c r="CW11" s="18"/>
      <c r="CX11" s="18"/>
      <c r="CY11" s="18"/>
      <c r="CZ11" s="18"/>
      <c r="DA11" s="18"/>
      <c r="DB11" s="5"/>
      <c r="DC11" s="6"/>
      <c r="DD11" s="18"/>
      <c r="DE11" s="18"/>
      <c r="DF11" s="18"/>
      <c r="DG11" s="6"/>
      <c r="DH11" s="5"/>
      <c r="DI11" s="6"/>
      <c r="DJ11" s="18"/>
      <c r="DK11" s="18"/>
      <c r="DL11" s="18"/>
      <c r="DM11" s="18"/>
      <c r="DN11" s="18"/>
      <c r="DO11" s="18"/>
      <c r="DP11" s="18"/>
      <c r="DQ11" s="6"/>
      <c r="DR11" s="5"/>
      <c r="DS11" s="6"/>
      <c r="DT11" s="18"/>
      <c r="DU11" s="6"/>
      <c r="DV11" s="5"/>
      <c r="DW11" s="6"/>
      <c r="DX11" s="18"/>
      <c r="DY11" s="6"/>
      <c r="DZ11" s="5"/>
      <c r="EA11" s="6"/>
      <c r="EB11" s="15" t="b">
        <v>1</v>
      </c>
      <c r="EC11" s="15" t="b">
        <v>1</v>
      </c>
      <c r="ED11" s="15" t="b">
        <v>0</v>
      </c>
      <c r="EE11" s="15"/>
      <c r="EF11" s="15"/>
      <c r="EG11" s="15"/>
      <c r="EH11" s="6" t="b">
        <v>0</v>
      </c>
      <c r="EI11" s="6"/>
      <c r="EJ11" s="6" t="b">
        <v>1</v>
      </c>
      <c r="EK11" s="6"/>
      <c r="EL11" s="6"/>
      <c r="EM11" s="6"/>
      <c r="EN11" s="6"/>
      <c r="EO11" s="6"/>
      <c r="EP11" s="6"/>
      <c r="EQ11" s="6"/>
      <c r="ER11" s="6"/>
      <c r="ES11" s="6"/>
      <c r="ET11" s="6"/>
      <c r="EU11" s="6"/>
      <c r="EV11" s="6"/>
      <c r="EW11" s="6"/>
      <c r="EX11" s="6"/>
      <c r="EY11" s="6"/>
      <c r="EZ11" s="15" t="b">
        <f>IF(COUNTA(Register[[#This Row],[Ethics - CAHS Complete]:[Ethics - Others Complete]])=0, "",IF(COUNTIF(Register[[#This Row],[Ethics - CAHS Complete]:[Ethics - Others Complete]],TRUE)&gt;0,TRUE,FALSE))</f>
        <v>1</v>
      </c>
      <c r="FA11" s="15" t="str">
        <f>IF(COUNTA(Register[[#This Row],[Gov - PCH Complete]:[Gov - Others Complete]])=0,"",IF(COUNTIF(Register[[#This Row],[Gov - PCH Complete]:[Gov - Others Complete]],TRUE)&gt;0,TRUE,FALSE))</f>
        <v/>
      </c>
      <c r="FB11" s="15" t="str">
        <f>IF(COUNTA(Register[[#This Row],[Budget - VTG Complete]:[Budget - Pharmacy Complete]])=0,"",IF(COUNTIF(Register[[#This Row],[Budget - VTG Complete]:[Budget - Pharmacy Complete]],TRUE)=3,TRUE,FALSE))</f>
        <v/>
      </c>
      <c r="FC11" s="15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11" s="15">
        <f t="array" ref="FD11">IFERROR(MATCH(FALSE,Register[[#This Row],[Study Details Complete]:[SIV Complete]],0),IFERROR(MATCH(TRUE,ISBLANK(Register[[#This Row],[Study Details Complete]:[SIV Complete]]),0),1))</f>
        <v>3</v>
      </c>
    </row>
    <row r="12" spans="4:160" x14ac:dyDescent="0.25"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</row>
    <row r="13" spans="4:160" x14ac:dyDescent="0.25">
      <c r="J13" s="17"/>
      <c r="K13" s="17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A13" s="9"/>
      <c r="AB13" s="9"/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</row>
    <row r="14" spans="4:160" x14ac:dyDescent="0.25">
      <c r="J14" s="17"/>
      <c r="K14" s="17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42"/>
      <c r="AB14" s="9"/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</row>
    <row r="15" spans="4:160" x14ac:dyDescent="0.25">
      <c r="J15" s="16"/>
      <c r="K15" s="16"/>
    </row>
    <row r="16" spans="4:160" x14ac:dyDescent="0.25">
      <c r="J16" s="16"/>
      <c r="K16" s="16"/>
      <c r="M16" s="40"/>
    </row>
    <row r="17" spans="132:132" x14ac:dyDescent="0.25">
      <c r="EB17" s="41"/>
    </row>
  </sheetData>
  <dataConsolidate/>
  <mergeCells count="16">
    <mergeCell ref="DH4:DI4"/>
    <mergeCell ref="DR4:DS4"/>
    <mergeCell ref="DV4:DW4"/>
    <mergeCell ref="DZ4:EA4"/>
    <mergeCell ref="D4:E4"/>
    <mergeCell ref="AE4:AF4"/>
    <mergeCell ref="AM4:AN4"/>
    <mergeCell ref="AQ4:AR4"/>
    <mergeCell ref="DB4:DC4"/>
    <mergeCell ref="BL4:BM4"/>
    <mergeCell ref="CQ4:CR4"/>
    <mergeCell ref="H4:I4"/>
    <mergeCell ref="F4:G4"/>
    <mergeCell ref="Q4:R4"/>
    <mergeCell ref="K4:O4"/>
    <mergeCell ref="Y4:Z4"/>
  </mergeCells>
  <phoneticPr fontId="3" type="noConversion"/>
  <pageMargins left="0.7" right="0.7" top="0.75" bottom="0.75" header="0.3" footer="0.3"/>
  <pageSetup paperSize="9" orientation="portrait" verticalDpi="0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56AC9D-7704-49A5-9205-9A7479E6BB27}">
  <sheetPr codeName="Sheet3"/>
  <dimension ref="A1:AJ19"/>
  <sheetViews>
    <sheetView workbookViewId="0">
      <pane xSplit="3" ySplit="10" topLeftCell="AG14" activePane="bottomRight" state="frozen"/>
      <selection pane="topRight" activeCell="D1" sqref="D1"/>
      <selection pane="bottomLeft" activeCell="A9" sqref="A9"/>
      <selection pane="bottomRight" activeCell="AH18" sqref="AH18"/>
    </sheetView>
  </sheetViews>
  <sheetFormatPr defaultRowHeight="15" x14ac:dyDescent="0.25"/>
  <cols>
    <col min="1" max="1" width="20.7109375" customWidth="1"/>
    <col min="2" max="2" width="18.7109375" customWidth="1"/>
    <col min="3" max="3" width="40.7109375" customWidth="1"/>
    <col min="4" max="4" width="20.7109375" customWidth="1"/>
    <col min="5" max="7" width="18.7109375" customWidth="1"/>
    <col min="8" max="9" width="32.7109375" customWidth="1"/>
    <col min="10" max="27" width="32.7109375" style="1" customWidth="1"/>
    <col min="28" max="28" width="32.7109375" customWidth="1"/>
    <col min="29" max="34" width="32.7109375" style="1" customWidth="1"/>
    <col min="35" max="35" width="17.28515625" style="31" hidden="1" customWidth="1"/>
    <col min="36" max="36" width="32.7109375" style="1" customWidth="1"/>
  </cols>
  <sheetData>
    <row r="1" spans="1:36" ht="18.75" x14ac:dyDescent="0.3">
      <c r="A1" s="43" t="s">
        <v>203</v>
      </c>
      <c r="C1" s="44" t="s">
        <v>321</v>
      </c>
      <c r="D1" s="19"/>
      <c r="I1" s="1"/>
      <c r="AB1" s="1"/>
      <c r="AJ1"/>
    </row>
    <row r="2" spans="1:36" x14ac:dyDescent="0.25">
      <c r="I2" s="1"/>
      <c r="AB2" s="1"/>
      <c r="AJ2"/>
    </row>
    <row r="3" spans="1:36" x14ac:dyDescent="0.25">
      <c r="A3" t="s">
        <v>204</v>
      </c>
      <c r="B3" s="20"/>
      <c r="I3" s="1"/>
      <c r="AB3" s="1"/>
      <c r="AJ3"/>
    </row>
    <row r="4" spans="1:36" x14ac:dyDescent="0.25">
      <c r="A4" t="s">
        <v>205</v>
      </c>
      <c r="B4" s="21"/>
      <c r="I4" s="1"/>
      <c r="AB4" s="1"/>
      <c r="AJ4"/>
    </row>
    <row r="5" spans="1:36" x14ac:dyDescent="0.25">
      <c r="D5" s="23"/>
      <c r="I5" s="1"/>
      <c r="AB5" s="1"/>
      <c r="AJ5"/>
    </row>
    <row r="6" spans="1:36" x14ac:dyDescent="0.25">
      <c r="D6" s="23"/>
      <c r="I6" s="1"/>
      <c r="AB6" s="1"/>
      <c r="AJ6"/>
    </row>
    <row r="7" spans="1:36" x14ac:dyDescent="0.25">
      <c r="D7" s="23"/>
      <c r="I7" s="1"/>
      <c r="AB7" s="1"/>
      <c r="AJ7"/>
    </row>
    <row r="8" spans="1:36" x14ac:dyDescent="0.25">
      <c r="A8">
        <v>1</v>
      </c>
      <c r="B8">
        <v>2</v>
      </c>
      <c r="C8">
        <v>3</v>
      </c>
      <c r="D8">
        <v>4</v>
      </c>
      <c r="E8">
        <v>5</v>
      </c>
      <c r="F8">
        <v>6</v>
      </c>
      <c r="G8">
        <v>7</v>
      </c>
      <c r="H8">
        <v>8</v>
      </c>
      <c r="I8">
        <v>9</v>
      </c>
      <c r="J8">
        <v>10</v>
      </c>
      <c r="K8">
        <v>11</v>
      </c>
      <c r="L8">
        <v>12</v>
      </c>
      <c r="M8">
        <v>13</v>
      </c>
      <c r="N8">
        <v>14</v>
      </c>
      <c r="O8">
        <v>15</v>
      </c>
      <c r="P8">
        <v>16</v>
      </c>
      <c r="Q8">
        <v>17</v>
      </c>
      <c r="R8">
        <v>18</v>
      </c>
      <c r="S8">
        <v>19</v>
      </c>
      <c r="T8">
        <v>20</v>
      </c>
      <c r="U8">
        <v>21</v>
      </c>
      <c r="V8">
        <v>22</v>
      </c>
      <c r="W8">
        <v>23</v>
      </c>
      <c r="X8">
        <v>24</v>
      </c>
      <c r="Y8">
        <v>25</v>
      </c>
      <c r="Z8">
        <v>26</v>
      </c>
      <c r="AA8">
        <v>27</v>
      </c>
      <c r="AB8">
        <v>28</v>
      </c>
      <c r="AC8">
        <v>29</v>
      </c>
      <c r="AD8">
        <v>30</v>
      </c>
      <c r="AE8">
        <v>31</v>
      </c>
      <c r="AF8">
        <v>32</v>
      </c>
      <c r="AG8">
        <v>33</v>
      </c>
      <c r="AH8">
        <v>34</v>
      </c>
      <c r="AJ8"/>
    </row>
    <row r="9" spans="1:36" ht="15" customHeight="1" x14ac:dyDescent="0.25">
      <c r="B9" s="22"/>
      <c r="D9" s="22"/>
      <c r="I9" s="1"/>
      <c r="AB9" s="1"/>
      <c r="AJ9"/>
    </row>
    <row r="10" spans="1:36" x14ac:dyDescent="0.25">
      <c r="A10" s="27" t="s">
        <v>22</v>
      </c>
      <c r="B10" s="29" t="s">
        <v>206</v>
      </c>
      <c r="C10" s="27" t="s">
        <v>24</v>
      </c>
      <c r="D10" s="30" t="s">
        <v>207</v>
      </c>
      <c r="E10" s="27" t="s">
        <v>208</v>
      </c>
      <c r="F10" s="27" t="s">
        <v>209</v>
      </c>
      <c r="G10" s="31" t="s">
        <v>197</v>
      </c>
      <c r="H10" s="27" t="s">
        <v>210</v>
      </c>
      <c r="I10" s="27" t="s">
        <v>211</v>
      </c>
      <c r="J10" s="27" t="s">
        <v>212</v>
      </c>
      <c r="K10" s="27" t="s">
        <v>213</v>
      </c>
      <c r="L10" s="28" t="s">
        <v>214</v>
      </c>
      <c r="M10" s="27" t="s">
        <v>215</v>
      </c>
      <c r="N10" s="27" t="s">
        <v>216</v>
      </c>
      <c r="O10" s="27" t="s">
        <v>217</v>
      </c>
      <c r="P10" s="27" t="s">
        <v>218</v>
      </c>
      <c r="Q10" s="27" t="s">
        <v>219</v>
      </c>
      <c r="R10" s="27" t="s">
        <v>220</v>
      </c>
      <c r="S10" s="27" t="s">
        <v>221</v>
      </c>
      <c r="T10" s="27" t="s">
        <v>222</v>
      </c>
      <c r="U10" s="27" t="s">
        <v>223</v>
      </c>
      <c r="V10" s="27" t="s">
        <v>224</v>
      </c>
      <c r="W10" s="27" t="s">
        <v>225</v>
      </c>
      <c r="X10" s="27" t="s">
        <v>226</v>
      </c>
      <c r="Y10" s="27" t="s">
        <v>227</v>
      </c>
      <c r="Z10" s="27" t="s">
        <v>228</v>
      </c>
      <c r="AA10" s="27" t="s">
        <v>233</v>
      </c>
      <c r="AB10" s="27" t="s">
        <v>229</v>
      </c>
      <c r="AC10" s="27" t="s">
        <v>230</v>
      </c>
      <c r="AD10" s="27" t="s">
        <v>231</v>
      </c>
      <c r="AE10" s="27" t="s">
        <v>232</v>
      </c>
      <c r="AF10" s="27" t="s">
        <v>234</v>
      </c>
      <c r="AG10" s="27" t="s">
        <v>235</v>
      </c>
      <c r="AH10" s="27" t="s">
        <v>236</v>
      </c>
      <c r="AI10" s="27" t="s">
        <v>320</v>
      </c>
      <c r="AJ10"/>
    </row>
    <row r="11" spans="1:36" s="37" customFormat="1" x14ac:dyDescent="0.25">
      <c r="A11" s="34" t="s">
        <v>174</v>
      </c>
      <c r="B11" s="35">
        <v>44452</v>
      </c>
      <c r="C11" s="25" t="s">
        <v>176</v>
      </c>
      <c r="D11" s="36">
        <v>44473.619444444441</v>
      </c>
      <c r="E11" s="32" t="s">
        <v>175</v>
      </c>
      <c r="F11" s="32" t="s">
        <v>177</v>
      </c>
      <c r="G11" s="32" t="s">
        <v>178</v>
      </c>
      <c r="H11" s="25" t="s">
        <v>179</v>
      </c>
      <c r="I11" s="25"/>
      <c r="J11" s="25"/>
      <c r="K11" s="25"/>
      <c r="L11" s="26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  <c r="AH11" s="25"/>
      <c r="AI11" s="61">
        <v>1</v>
      </c>
    </row>
    <row r="12" spans="1:36" s="37" customFormat="1" ht="75" x14ac:dyDescent="0.25">
      <c r="A12" s="34" t="s">
        <v>174</v>
      </c>
      <c r="B12" s="35">
        <v>44452</v>
      </c>
      <c r="C12" s="25" t="s">
        <v>182</v>
      </c>
      <c r="D12" s="36">
        <v>44468.902777777781</v>
      </c>
      <c r="E12" s="32" t="s">
        <v>181</v>
      </c>
      <c r="F12" s="32" t="s">
        <v>183</v>
      </c>
      <c r="G12" s="32" t="s">
        <v>184</v>
      </c>
      <c r="H12" s="34" t="s">
        <v>237</v>
      </c>
      <c r="I12" s="25"/>
      <c r="J12" s="25"/>
      <c r="K12" s="25"/>
      <c r="L12" s="26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  <c r="AI12" s="61">
        <v>2</v>
      </c>
    </row>
    <row r="13" spans="1:36" s="38" customFormat="1" ht="120" x14ac:dyDescent="0.25">
      <c r="A13" s="33" t="s">
        <v>174</v>
      </c>
      <c r="B13" s="35">
        <v>44452</v>
      </c>
      <c r="C13" s="25" t="s">
        <v>195</v>
      </c>
      <c r="D13" s="36">
        <v>44475.231249999997</v>
      </c>
      <c r="E13" s="32" t="s">
        <v>194</v>
      </c>
      <c r="F13" s="32" t="s">
        <v>196</v>
      </c>
      <c r="G13" s="32" t="s">
        <v>197</v>
      </c>
      <c r="H13" s="26" t="s">
        <v>198</v>
      </c>
      <c r="I13" s="33" t="s">
        <v>238</v>
      </c>
      <c r="J13" s="33" t="s">
        <v>239</v>
      </c>
      <c r="K13" s="33" t="s">
        <v>240</v>
      </c>
      <c r="L13" s="33" t="s">
        <v>241</v>
      </c>
      <c r="M13" s="33" t="s">
        <v>242</v>
      </c>
      <c r="N13" s="33" t="s">
        <v>243</v>
      </c>
      <c r="O13" s="33" t="s">
        <v>244</v>
      </c>
      <c r="P13" s="33" t="s">
        <v>245</v>
      </c>
      <c r="Q13" s="25"/>
      <c r="R13" s="25"/>
      <c r="S13" s="33" t="s">
        <v>246</v>
      </c>
      <c r="T13" s="33" t="s">
        <v>247</v>
      </c>
      <c r="U13" s="33" t="s">
        <v>248</v>
      </c>
      <c r="V13" s="25"/>
      <c r="W13" s="25"/>
      <c r="X13" s="25"/>
      <c r="Y13" s="25"/>
      <c r="Z13" s="25"/>
      <c r="AA13" s="33" t="s">
        <v>253</v>
      </c>
      <c r="AB13" s="33" t="s">
        <v>249</v>
      </c>
      <c r="AC13" s="33" t="s">
        <v>250</v>
      </c>
      <c r="AD13" s="33" t="s">
        <v>251</v>
      </c>
      <c r="AE13" s="33" t="s">
        <v>252</v>
      </c>
      <c r="AF13" s="33" t="s">
        <v>254</v>
      </c>
      <c r="AG13" s="33" t="s">
        <v>255</v>
      </c>
      <c r="AH13" s="33" t="s">
        <v>256</v>
      </c>
      <c r="AI13" s="61">
        <v>4</v>
      </c>
    </row>
    <row r="14" spans="1:36" s="24" customFormat="1" ht="105" x14ac:dyDescent="0.25">
      <c r="A14" s="34" t="s">
        <v>174</v>
      </c>
      <c r="B14" s="35">
        <v>44473</v>
      </c>
      <c r="C14" s="25" t="s">
        <v>272</v>
      </c>
      <c r="D14" s="36">
        <v>44475.231249999997</v>
      </c>
      <c r="E14" s="32">
        <v>212171</v>
      </c>
      <c r="F14" s="32" t="s">
        <v>193</v>
      </c>
      <c r="G14" s="32" t="s">
        <v>193</v>
      </c>
      <c r="H14" s="26" t="s">
        <v>273</v>
      </c>
      <c r="I14" s="26"/>
      <c r="J14" s="26"/>
      <c r="K14" s="26"/>
      <c r="L14" s="26"/>
      <c r="M14" s="34" t="s">
        <v>282</v>
      </c>
      <c r="N14" s="26"/>
      <c r="O14" s="26"/>
      <c r="P14" s="34" t="s">
        <v>283</v>
      </c>
      <c r="Q14" s="34" t="s">
        <v>284</v>
      </c>
      <c r="R14" s="25"/>
      <c r="S14" s="34" t="s">
        <v>285</v>
      </c>
      <c r="T14" s="34" t="s">
        <v>286</v>
      </c>
      <c r="U14" s="34" t="s">
        <v>287</v>
      </c>
      <c r="V14" s="25"/>
      <c r="W14" s="25"/>
      <c r="X14" s="34" t="s">
        <v>288</v>
      </c>
      <c r="Y14" s="25"/>
      <c r="Z14" s="34" t="s">
        <v>289</v>
      </c>
      <c r="AA14" s="26"/>
      <c r="AB14" s="26"/>
      <c r="AC14" s="26"/>
      <c r="AD14" s="26"/>
      <c r="AE14" s="26"/>
      <c r="AF14" s="26"/>
      <c r="AG14" s="26"/>
      <c r="AH14" s="33" t="s">
        <v>290</v>
      </c>
      <c r="AI14" s="61">
        <v>5</v>
      </c>
    </row>
    <row r="15" spans="1:36" s="24" customFormat="1" ht="90" x14ac:dyDescent="0.25">
      <c r="A15" s="34" t="s">
        <v>291</v>
      </c>
      <c r="B15" s="35">
        <v>44473</v>
      </c>
      <c r="C15" s="25" t="s">
        <v>293</v>
      </c>
      <c r="D15" s="36">
        <v>44475.231944444444</v>
      </c>
      <c r="E15" s="32" t="s">
        <v>292</v>
      </c>
      <c r="F15" s="32" t="s">
        <v>189</v>
      </c>
      <c r="G15" s="32" t="s">
        <v>294</v>
      </c>
      <c r="H15" s="26" t="s">
        <v>295</v>
      </c>
      <c r="I15" s="33" t="s">
        <v>297</v>
      </c>
      <c r="J15" s="34" t="s">
        <v>298</v>
      </c>
      <c r="K15" s="26"/>
      <c r="L15" s="26"/>
      <c r="M15" s="33" t="s">
        <v>299</v>
      </c>
      <c r="N15" s="26"/>
      <c r="O15" s="34" t="s">
        <v>300</v>
      </c>
      <c r="P15" s="26"/>
      <c r="Q15" s="33" t="s">
        <v>301</v>
      </c>
      <c r="R15" s="25"/>
      <c r="S15" s="26"/>
      <c r="T15" s="26"/>
      <c r="U15" s="26"/>
      <c r="V15" s="25"/>
      <c r="W15" s="25"/>
      <c r="X15" s="26"/>
      <c r="Y15" s="25"/>
      <c r="Z15" s="26"/>
      <c r="AA15" s="26"/>
      <c r="AB15" s="26"/>
      <c r="AC15" s="26"/>
      <c r="AD15" s="26"/>
      <c r="AE15" s="26"/>
      <c r="AF15" s="26"/>
      <c r="AG15" s="26"/>
      <c r="AH15" s="26"/>
      <c r="AI15" s="61">
        <v>6</v>
      </c>
    </row>
    <row r="16" spans="1:36" s="24" customFormat="1" x14ac:dyDescent="0.25">
      <c r="A16"/>
      <c r="B16"/>
      <c r="C16"/>
      <c r="D16"/>
      <c r="E16"/>
      <c r="F16"/>
      <c r="G16"/>
      <c r="H16"/>
      <c r="I16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/>
      <c r="AC16" s="1"/>
      <c r="AD16" s="1"/>
      <c r="AE16" s="1"/>
      <c r="AF16" s="1"/>
      <c r="AG16" s="1"/>
      <c r="AH16" s="1"/>
      <c r="AI16" s="31"/>
    </row>
    <row r="17" spans="36:36" x14ac:dyDescent="0.25">
      <c r="AJ17"/>
    </row>
    <row r="18" spans="36:36" x14ac:dyDescent="0.25">
      <c r="AJ18"/>
    </row>
    <row r="19" spans="36:36" x14ac:dyDescent="0.25">
      <c r="AJ19"/>
    </row>
  </sheetData>
  <pageMargins left="0.7" right="0.7" top="0.75" bottom="0.75" header="0.3" footer="0.3"/>
  <pageSetup paperSize="9" orientation="portrait" horizontalDpi="4294967293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DA04F07640DDA4B96E7AE3A5B1C98C7" ma:contentTypeVersion="13" ma:contentTypeDescription="Create a new document." ma:contentTypeScope="" ma:versionID="a9b44bac87bf2a681cb7a321361a85fe">
  <xsd:schema xmlns:xsd="http://www.w3.org/2001/XMLSchema" xmlns:xs="http://www.w3.org/2001/XMLSchema" xmlns:p="http://schemas.microsoft.com/office/2006/metadata/properties" xmlns:ns2="ef41a48a-f676-4653-b147-23c866c42960" xmlns:ns3="154ad2c3-3cdc-4fd8-9023-4135fcc899b6" targetNamespace="http://schemas.microsoft.com/office/2006/metadata/properties" ma:root="true" ma:fieldsID="aa741c6c2504490ed8905e8d91ceb377" ns2:_="" ns3:_="">
    <xsd:import namespace="ef41a48a-f676-4653-b147-23c866c42960"/>
    <xsd:import namespace="154ad2c3-3cdc-4fd8-9023-4135fcc899b6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DateTaken" minOccurs="0"/>
                <xsd:element ref="ns3:MediaLengthInSecond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41a48a-f676-4653-b147-23c866c42960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54ad2c3-3cdc-4fd8-9023-4135fcc899b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5" nillable="true" ma:displayName="Length (seconds)" ma:internalName="MediaLengthInSeconds" ma:readOnly="true">
      <xsd:simpleType>
        <xsd:restriction base="dms:Unknown"/>
      </xsd:simpleType>
    </xsd:element>
    <xsd:element name="MediaServiceAutoTags" ma:index="16" nillable="true" ma:displayName="Tags" ma:internalName="MediaServiceAutoTags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�� 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C148712-A345-439C-BA27-546F1BE42F4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41a48a-f676-4653-b147-23c866c42960"/>
    <ds:schemaRef ds:uri="154ad2c3-3cdc-4fd8-9023-4135fcc899b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3B83D42E-B6BA-4EA5-A0F5-9149F3276280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301E6890-FFFE-4A71-B4FC-FE09CAEBD4F9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4.xml><?xml version="1.0" encoding="utf-8"?>
<ds:datastoreItem xmlns:ds="http://schemas.openxmlformats.org/officeDocument/2006/customXml" ds:itemID="{09AFB56D-1446-4F8F-9C5F-115419D5EA8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User Guide</vt:lpstr>
      <vt:lpstr>Register</vt:lpstr>
      <vt:lpstr>Overview Report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Essajee, Hatim</dc:creator>
  <cp:keywords/>
  <dc:description/>
  <cp:lastModifiedBy>Valued Customer</cp:lastModifiedBy>
  <cp:revision/>
  <dcterms:created xsi:type="dcterms:W3CDTF">2020-01-28T22:26:44Z</dcterms:created>
  <dcterms:modified xsi:type="dcterms:W3CDTF">2021-10-08T02:41:24Z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0x0101005DA04F07640DDA4B96E7AE3A5B1C98C7</vt:lpwstr>
  </property>
</Properties>
</file>