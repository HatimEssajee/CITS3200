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Prototypes\"/>
    </mc:Choice>
  </mc:AlternateContent>
  <xr:revisionPtr revIDLastSave="0" documentId="8_{A9F360A9-6BE8-4206-AD70-AB3B8821C092}" xr6:coauthVersionLast="47" xr6:coauthVersionMax="47" xr10:uidLastSave="{00000000-0000-0000-0000-000000000000}"/>
  <bookViews>
    <workbookView xWindow="-120" yWindow="-120" windowWidth="29040" windowHeight="15840" activeTab="1" xr2:uid="{1ABECFD8-9AF8-44EB-A383-5C62445662D9}"/>
  </bookViews>
  <sheets>
    <sheet name="User Guide" sheetId="8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3" i="1" l="1" a="1"/>
  <c r="FD13" i="1" s="1"/>
  <c r="FB13" i="1"/>
  <c r="FA13" i="1"/>
  <c r="EZ13" i="1"/>
  <c r="FD6" i="1" a="1"/>
  <c r="FD6" i="1" s="1"/>
  <c r="FD7" i="1" a="1"/>
  <c r="FD7" i="1" s="1"/>
  <c r="FD8" i="1" a="1"/>
  <c r="FD8" i="1" s="1"/>
  <c r="FD9" i="1" a="1"/>
  <c r="FD9" i="1" s="1"/>
  <c r="FD10" i="1" a="1"/>
  <c r="FD10" i="1" s="1"/>
  <c r="FD11" i="1" a="1"/>
  <c r="FD11" i="1" s="1"/>
  <c r="FD12" i="1" a="1"/>
  <c r="FD12" i="1" s="1"/>
  <c r="FB12" i="1"/>
  <c r="FA12" i="1"/>
  <c r="EZ12" i="1"/>
  <c r="FB11" i="1"/>
  <c r="FA11" i="1"/>
  <c r="EZ11" i="1"/>
  <c r="FB10" i="1"/>
  <c r="FA10" i="1"/>
  <c r="EZ10" i="1"/>
  <c r="FB9" i="1"/>
  <c r="FA9" i="1"/>
  <c r="EZ9" i="1"/>
  <c r="FB7" i="1"/>
  <c r="FA7" i="1"/>
  <c r="EZ7" i="1"/>
  <c r="FB6" i="1"/>
  <c r="FA6" i="1"/>
  <c r="EZ6" i="1"/>
  <c r="FB8" i="1"/>
  <c r="FA8" i="1"/>
  <c r="EZ8" i="1"/>
  <c r="FC13" i="1" l="1"/>
  <c r="FC7" i="1"/>
  <c r="FC12" i="1"/>
  <c r="FC8" i="1"/>
  <c r="FC9" i="1"/>
  <c r="FC11" i="1"/>
  <c r="FC10" i="1"/>
  <c r="FC6" i="1"/>
</calcChain>
</file>

<file path=xl/sharedStrings.xml><?xml version="1.0" encoding="utf-8"?>
<sst xmlns="http://schemas.openxmlformats.org/spreadsheetml/2006/main" count="402" uniqueCount="302">
  <si>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</si>
  <si>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</si>
  <si>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</si>
  <si>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</si>
  <si>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</si>
  <si>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</si>
  <si>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</si>
  <si>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</si>
  <si>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</si>
  <si>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</si>
  <si>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</si>
  <si>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</si>
  <si>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</si>
  <si>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</si>
  <si>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</si>
  <si>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</si>
  <si>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</si>
  <si>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</si>
  <si>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</si>
  <si>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</si>
  <si>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</si>
  <si>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</si>
  <si>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</si>
  <si>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</si>
  <si>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</si>
  <si>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</si>
  <si>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</si>
  <si>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</si>
  <si>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</si>
  <si>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</si>
  <si>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</si>
  <si>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</si>
  <si>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</si>
  <si>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</si>
  <si>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</si>
  <si>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</si>
  <si>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</si>
  <si>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</si>
  <si>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</si>
  <si>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</si>
  <si>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</si>
  <si>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</si>
  <si>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</si>
  <si>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</si>
  <si>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</si>
  <si>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</si>
  <si>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</si>
  <si>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</si>
  <si>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</si>
  <si>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</si>
  <si>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</si>
  <si>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</si>
  <si>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</si>
  <si>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</si>
  <si>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</si>
  <si>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</si>
  <si>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</si>
  <si>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</si>
  <si>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</si>
  <si>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</si>
  <si>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</si>
  <si>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</si>
  <si>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</si>
  <si>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</si>
  <si>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</si>
  <si>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</si>
  <si>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</si>
  <si>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</si>
  <si>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</si>
  <si>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</si>
  <si>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</si>
  <si>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</si>
  <si>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</si>
  <si>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</si>
  <si>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</si>
  <si>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</si>
  <si>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</si>
  <si>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</si>
  <si>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</si>
  <si>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</si>
  <si>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</si>
  <si>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</si>
  <si>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</si>
  <si>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</si>
  <si>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</si>
  <si>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</si>
  <si>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</si>
  <si>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</si>
  <si>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</si>
  <si>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</si>
  <si>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</si>
  <si>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</si>
  <si>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</si>
  <si>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</si>
  <si>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</si>
  <si>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</si>
  <si>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</si>
  <si>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</si>
  <si>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</si>
  <si>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</si>
  <si>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</si>
  <si>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</si>
  <si>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</si>
  <si>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</si>
  <si>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</si>
  <si>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</si>
  <si>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</si>
  <si>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</si>
  <si>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</si>
  <si>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</si>
  <si>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</si>
  <si>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</si>
  <si>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</si>
  <si>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</si>
  <si>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</si>
  <si>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</si>
  <si>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</si>
  <si>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</si>
  <si>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</si>
  <si>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</si>
  <si>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</si>
  <si>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</si>
  <si>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</si>
  <si>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</si>
  <si>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</si>
  <si>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</si>
  <si>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</si>
  <si>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</si>
  <si>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</si>
  <si>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</si>
  <si>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</si>
  <si>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</si>
  <si>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</si>
  <si>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</si>
  <si>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</si>
  <si>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</si>
  <si>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</si>
  <si>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</si>
  <si>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</si>
  <si>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</si>
  <si>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</si>
  <si>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</si>
  <si>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</si>
  <si>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</si>
  <si>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</si>
  <si>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</si>
  <si>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</si>
  <si>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</si>
  <si>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</si>
  <si>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</si>
  <si>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</si>
  <si>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</si>
  <si>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</si>
  <si>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</si>
  <si>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</si>
  <si>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</si>
  <si>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</si>
  <si>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</si>
  <si>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</si>
  <si>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</si>
  <si>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</si>
  <si>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</si>
  <si>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</si>
  <si>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</si>
  <si>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</si>
  <si>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</si>
  <si>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</si>
  <si>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</si>
  <si>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</si>
  <si>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</si>
  <si>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</si>
  <si>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</si>
  <si>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</si>
  <si>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</si>
  <si>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</si>
  <si>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</si>
  <si>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</si>
  <si>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</si>
  <si>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</si>
  <si>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</si>
  <si>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</si>
  <si>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</si>
  <si>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</si>
  <si>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</si>
  <si>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</si>
  <si>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</si>
  <si>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</si>
  <si>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</si>
  <si>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</si>
  <si>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</si>
  <si>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</si>
  <si>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</si>
  <si>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</si>
  <si>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</si>
  <si>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</si>
  <si>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</si>
  <si>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</si>
  <si>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</si>
  <si>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</si>
  <si>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</si>
  <si>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</si>
  <si>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</si>
  <si>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</si>
  <si>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</si>
  <si>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</si>
  <si>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</si>
  <si>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</si>
  <si>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</si>
  <si>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</si>
  <si>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</si>
  <si>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</si>
  <si>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</si>
  <si>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</si>
  <si>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</si>
  <si>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</si>
  <si>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</si>
  <si>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</si>
  <si>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</si>
  <si>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</si>
  <si>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</si>
  <si>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</si>
  <si>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</si>
  <si>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</si>
  <si>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</si>
  <si>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</si>
  <si>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</si>
  <si>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</si>
  <si>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</si>
  <si>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</si>
  <si>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</si>
  <si>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</si>
  <si>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</si>
  <si>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</si>
  <si>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</si>
  <si>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</si>
  <si>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</si>
  <si>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</si>
  <si>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</si>
  <si>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</si>
  <si>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</si>
  <si>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</si>
  <si>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</si>
  <si>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</si>
  <si>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</si>
  <si>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</si>
  <si>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</si>
  <si>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</si>
  <si>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</si>
  <si>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</si>
  <si>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</si>
  <si>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</si>
  <si>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</si>
  <si>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</si>
  <si>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</si>
  <si>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</si>
  <si>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</si>
  <si>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</si>
  <si>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</si>
  <si>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</si>
  <si>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</si>
  <si>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</si>
  <si>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</si>
  <si>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</si>
  <si>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</si>
  <si>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</si>
  <si>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</si>
  <si>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</si>
  <si>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</si>
  <si>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</si>
  <si>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</si>
  <si>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</si>
  <si>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Vaccine Study</t>
  </si>
  <si>
    <t>UWA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</si>
  <si>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</si>
  <si>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</si>
  <si>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</si>
  <si>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</si>
  <si>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</si>
  <si>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</si>
  <si>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</si>
  <si>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</si>
  <si>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</si>
  <si>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</si>
  <si>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</si>
  <si>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</si>
  <si>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</si>
  <si>
    <t>Reminder VTG</t>
  </si>
  <si>
    <t>Date Received = 01-Nov-20
Date Sent Contracts = 01-Nov-20
Date Completed = 01-Jan-21</t>
  </si>
  <si>
    <t xml:space="preserve">Date Recv. Sponsor = 31-Dec-19
Date Sent Contracts = 02-Jan-20
Date Recv. Contracts = 03-Jan-20
Date Sent Sponsor = 04-Jan-20
Date Finalised = 05-Jan-20
</t>
  </si>
  <si>
    <t>Date Recv. = 01-Feb-20
Date Completed = 05-Feb-20; BB</t>
  </si>
  <si>
    <t>Pre-study visit = 01-Mar-20; On-site
Valid. visit = 31-Mar-20; Virtual
Date Site Selected = 05-Apr-20</t>
  </si>
  <si>
    <t>Plan. Meeting = 01-Jan-20</t>
  </si>
  <si>
    <t>CAHS Complete</t>
  </si>
  <si>
    <t>Date Submitted = 01-Apr-20
Date Responded = 02-Apr-20
Date Resubmitted = 04-Apr-20
Date Approved = 05-Apr-20</t>
  </si>
  <si>
    <t>Ethics Commitee = Cambridge1
Date Submitted = 01-Jan-20
Date Approved = A
Reminder:
Reminder Others</t>
  </si>
  <si>
    <t>PCH Complete</t>
  </si>
  <si>
    <t>Date Submitted = 01-Jun-20
Date Responded = 05-Jun-20
Date Approved = 09-Jun-20</t>
  </si>
  <si>
    <t>Date Submitted = 01-Jul-20
Date Responded = 
Date Approved = 
Reminder:
Reminder SJOG Mt Lawley</t>
  </si>
  <si>
    <t>Date Finalised = 01-Jul-20
Date Submitted Finance = 01-Jul-20
Date Approved = 01-Aug-20</t>
  </si>
  <si>
    <t>Date of SIV = 11-Jan-22</t>
  </si>
  <si>
    <t xml:space="preserve">Date Submitted R,G&amp;C = 01-Jan-20
Date UWA Review = 01-May-20
Date Finance Review = 01-Sep-20
Date COO/CFO Sign-off = 01-Jan-20
Date VTG Sign-off = 
Date Subm. Company = 
Date Finalised = </t>
  </si>
  <si>
    <t>Data retrieved 02-Oct-2021 03:28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</si>
</sst>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13</xdr:row>
      <xdr:rowOff>0</xdr:rowOff>
    </xdr:from>
    <xdr:to>
      <xdr:col>1</xdr:col>
      <xdr:colOff>1379220</xdr:colOff>
      <xdr:row>13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3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5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5" totalsRowShown="0" headerRowDxfId="37" dataDxfId="34">
  <autoFilter ref="A8:AH15" xr:uid="{F456AC9D-7704-49A5-9205-9A7479E6BB27}"/>
  <sortState xmlns:xlrd2="http://schemas.microsoft.com/office/spreadsheetml/2017/richdata2" ref="A9:AH9">
    <sortCondition sortBy="cellColor" ref="H8:H9" dxfId="36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9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B15" sqref="B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hidden="1" outlineLevel="1" x14ac:dyDescent="0.25"/>
    <row r="2" spans="4:160" hidden="1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25">
      <c r="D4" s="49" t="s">
        <v>79</v>
      </c>
      <c r="E4" s="49"/>
      <c r="F4" s="50" t="s">
        <v>11</v>
      </c>
      <c r="G4" s="50"/>
      <c r="H4" s="48" t="s">
        <v>10</v>
      </c>
      <c r="I4" s="48"/>
      <c r="J4" s="3"/>
      <c r="K4" s="51" t="s">
        <v>12</v>
      </c>
      <c r="L4" s="51"/>
      <c r="M4" s="51"/>
      <c r="N4" s="51"/>
      <c r="O4" s="51"/>
      <c r="P4" s="16"/>
      <c r="Q4" s="48" t="s">
        <v>180</v>
      </c>
      <c r="R4" s="48"/>
      <c r="S4" s="3"/>
      <c r="T4" s="3"/>
      <c r="U4" s="3"/>
      <c r="V4" s="3"/>
      <c r="W4" s="3"/>
      <c r="X4" s="3"/>
      <c r="Y4" s="48" t="s">
        <v>179</v>
      </c>
      <c r="Z4" s="48"/>
      <c r="AA4" s="3"/>
      <c r="AB4" s="3"/>
      <c r="AC4" s="3"/>
      <c r="AD4" s="3"/>
      <c r="AE4" s="48" t="s">
        <v>187</v>
      </c>
      <c r="AF4" s="48"/>
      <c r="AM4" s="48" t="s">
        <v>194</v>
      </c>
      <c r="AN4" s="48"/>
      <c r="AQ4" s="48" t="s">
        <v>201</v>
      </c>
      <c r="AR4" s="48"/>
      <c r="BL4" s="48" t="s">
        <v>202</v>
      </c>
      <c r="BM4" s="48"/>
      <c r="CQ4" s="48" t="s">
        <v>220</v>
      </c>
      <c r="CR4" s="48"/>
      <c r="DB4" s="48" t="s">
        <v>223</v>
      </c>
      <c r="DC4" s="48"/>
      <c r="DH4" s="48" t="s">
        <v>229</v>
      </c>
      <c r="DI4" s="48"/>
      <c r="DR4" s="48" t="s">
        <v>230</v>
      </c>
      <c r="DS4" s="48"/>
      <c r="DV4" s="48" t="s">
        <v>236</v>
      </c>
      <c r="DW4" s="48"/>
      <c r="DZ4" s="48" t="s">
        <v>238</v>
      </c>
      <c r="EA4" s="48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181</v>
      </c>
      <c r="Q5" s="8" t="s">
        <v>182</v>
      </c>
      <c r="R5" s="8" t="s">
        <v>183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184</v>
      </c>
      <c r="Y5" s="8" t="s">
        <v>185</v>
      </c>
      <c r="Z5" s="8" t="s">
        <v>186</v>
      </c>
      <c r="AA5" s="4" t="s">
        <v>188</v>
      </c>
      <c r="AB5" s="4" t="s">
        <v>189</v>
      </c>
      <c r="AC5" s="4" t="s">
        <v>190</v>
      </c>
      <c r="AD5" s="7" t="s">
        <v>191</v>
      </c>
      <c r="AE5" s="8" t="s">
        <v>192</v>
      </c>
      <c r="AF5" s="8" t="s">
        <v>193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196</v>
      </c>
      <c r="AM5" s="8" t="s">
        <v>195</v>
      </c>
      <c r="AN5" s="8" t="s">
        <v>197</v>
      </c>
      <c r="AO5" s="4" t="s">
        <v>22</v>
      </c>
      <c r="AP5" s="7" t="s">
        <v>198</v>
      </c>
      <c r="AQ5" s="8" t="s">
        <v>199</v>
      </c>
      <c r="AR5" s="8" t="s">
        <v>200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215</v>
      </c>
      <c r="AX5" s="4" t="s">
        <v>27</v>
      </c>
      <c r="AY5" s="4" t="s">
        <v>28</v>
      </c>
      <c r="AZ5" s="4" t="s">
        <v>29</v>
      </c>
      <c r="BA5" s="41" t="s">
        <v>214</v>
      </c>
      <c r="BB5" s="4" t="s">
        <v>30</v>
      </c>
      <c r="BC5" s="4" t="s">
        <v>31</v>
      </c>
      <c r="BD5" s="41" t="s">
        <v>212</v>
      </c>
      <c r="BE5" s="4" t="s">
        <v>32</v>
      </c>
      <c r="BF5" s="4" t="s">
        <v>33</v>
      </c>
      <c r="BG5" s="41" t="s">
        <v>213</v>
      </c>
      <c r="BH5" s="4" t="s">
        <v>34</v>
      </c>
      <c r="BI5" s="4" t="s">
        <v>35</v>
      </c>
      <c r="BJ5" s="4" t="s">
        <v>36</v>
      </c>
      <c r="BK5" s="7" t="s">
        <v>216</v>
      </c>
      <c r="BL5" s="8" t="s">
        <v>203</v>
      </c>
      <c r="BM5" s="8" t="s">
        <v>204</v>
      </c>
      <c r="BN5" s="4" t="s">
        <v>37</v>
      </c>
      <c r="BO5" s="4" t="s">
        <v>38</v>
      </c>
      <c r="BP5" s="4" t="s">
        <v>41</v>
      </c>
      <c r="BQ5" s="41" t="s">
        <v>206</v>
      </c>
      <c r="BR5" s="4" t="s">
        <v>39</v>
      </c>
      <c r="BS5" s="4" t="s">
        <v>40</v>
      </c>
      <c r="BT5" s="4" t="s">
        <v>42</v>
      </c>
      <c r="BU5" s="41" t="s">
        <v>207</v>
      </c>
      <c r="BV5" s="4" t="s">
        <v>43</v>
      </c>
      <c r="BW5" s="4" t="s">
        <v>44</v>
      </c>
      <c r="BX5" s="4" t="s">
        <v>45</v>
      </c>
      <c r="BY5" s="41" t="s">
        <v>208</v>
      </c>
      <c r="BZ5" s="4" t="s">
        <v>46</v>
      </c>
      <c r="CA5" s="4" t="s">
        <v>47</v>
      </c>
      <c r="CB5" s="4" t="s">
        <v>48</v>
      </c>
      <c r="CC5" s="41" t="s">
        <v>209</v>
      </c>
      <c r="CD5" s="4" t="s">
        <v>49</v>
      </c>
      <c r="CE5" s="4" t="s">
        <v>50</v>
      </c>
      <c r="CF5" s="4" t="s">
        <v>51</v>
      </c>
      <c r="CG5" s="41" t="s">
        <v>210</v>
      </c>
      <c r="CH5" s="4" t="s">
        <v>52</v>
      </c>
      <c r="CI5" s="4" t="s">
        <v>53</v>
      </c>
      <c r="CJ5" s="4" t="s">
        <v>54</v>
      </c>
      <c r="CK5" s="41" t="s">
        <v>211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205</v>
      </c>
      <c r="CQ5" s="8" t="s">
        <v>221</v>
      </c>
      <c r="CR5" s="8" t="s">
        <v>222</v>
      </c>
      <c r="CS5" s="4" t="s">
        <v>59</v>
      </c>
      <c r="CT5" s="4" t="s">
        <v>60</v>
      </c>
      <c r="CU5" s="4" t="s">
        <v>61</v>
      </c>
      <c r="CV5" s="41" t="s">
        <v>217</v>
      </c>
      <c r="CW5" s="4" t="s">
        <v>62</v>
      </c>
      <c r="CX5" s="41" t="s">
        <v>219</v>
      </c>
      <c r="CY5" s="4" t="s">
        <v>63</v>
      </c>
      <c r="CZ5" s="4" t="s">
        <v>64</v>
      </c>
      <c r="DA5" s="41" t="s">
        <v>218</v>
      </c>
      <c r="DB5" s="8" t="s">
        <v>224</v>
      </c>
      <c r="DC5" s="8" t="s">
        <v>225</v>
      </c>
      <c r="DD5" s="4" t="s">
        <v>65</v>
      </c>
      <c r="DE5" s="4" t="s">
        <v>66</v>
      </c>
      <c r="DF5" s="4" t="s">
        <v>67</v>
      </c>
      <c r="DG5" s="7" t="s">
        <v>226</v>
      </c>
      <c r="DH5" s="8" t="s">
        <v>227</v>
      </c>
      <c r="DI5" s="8" t="s">
        <v>228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231</v>
      </c>
      <c r="DR5" s="8" t="s">
        <v>232</v>
      </c>
      <c r="DS5" s="8" t="s">
        <v>233</v>
      </c>
      <c r="DT5" s="4" t="s">
        <v>75</v>
      </c>
      <c r="DU5" s="7" t="s">
        <v>234</v>
      </c>
      <c r="DV5" s="8" t="s">
        <v>235</v>
      </c>
      <c r="DW5" s="8" t="s">
        <v>237</v>
      </c>
      <c r="DX5" s="4" t="s">
        <v>76</v>
      </c>
      <c r="DY5" s="7" t="s">
        <v>239</v>
      </c>
      <c r="DZ5" s="8" t="s">
        <v>240</v>
      </c>
      <c r="EA5" s="8" t="s">
        <v>241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257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259</v>
      </c>
      <c r="FA5" s="8" t="s">
        <v>260</v>
      </c>
      <c r="FB5" s="8" t="s">
        <v>262</v>
      </c>
      <c r="FC5" s="8" t="s">
        <v>261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44468.90320601852</v>
      </c>
      <c r="I6" s="6" t="s">
        <v>87</v>
      </c>
      <c r="J6" s="4" t="s">
        <v>242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44468.90289351852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44468.902962962966</v>
      </c>
      <c r="I7" s="6" t="s">
        <v>87</v>
      </c>
      <c r="J7" s="4" t="s">
        <v>242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44468.902939814812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44468.903009259258</v>
      </c>
      <c r="I9" s="6" t="s">
        <v>87</v>
      </c>
      <c r="J9" s="4" t="s">
        <v>242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44468.902997685182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15" t="str">
        <f>IF(COUNTA(Register[[#This Row],[Ethics - CAHS Complete]:[Ethics - Others Complete]])=0, "",IF(COUNTIF(Register[[#This Row],[Ethics - CAHS Complete]:[Ethics - Others Complete]],TRUE)&gt;0,TRUE,FALSE))</f>
        <v/>
      </c>
      <c r="FA9" s="6" t="str">
        <f>IF(COUNTA(Register[[#This Row],[Gov - PCH Complete]:[Gov - Others Complete]])=0,"",IF(COUNTIF(Register[[#This Row],[Gov - PCH Complete]:[Gov - Others Complete]],TRUE)&gt;0,TRUE,FALSE))</f>
        <v/>
      </c>
      <c r="FB9" s="6" t="str">
        <f>IF(COUNTA(Register[[#This Row],[Budget - VTG Complete]:[Budget - Pharmacy Complete]])=0,"",IF(COUNTIF(Register[[#This Row],[Budget - VTG Complete]:[Budget - Pharmacy Complete]],TRUE)=3,TRUE,FALSE))</f>
        <v/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9" s="15">
        <f t="array" ref="FD9">IFERROR(MATCH(FALSE,Register[[#This Row],[Study Details Complete]:[SIV Complete]],0),IFERROR(MATCH(TRUE,ISBLANK(Register[[#This Row],[Study Details Complete]:[SIV Complete]]),0),1))</f>
        <v>2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44468.903043981481</v>
      </c>
      <c r="I10" s="6" t="s">
        <v>87</v>
      </c>
      <c r="J10" s="4" t="s">
        <v>242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44468.903020833335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15" t="str">
        <f>IF(COUNTA(Register[[#This Row],[Ethics - CAHS Complete]:[Ethics - Others Complete]])=0, "",IF(COUNTIF(Register[[#This Row],[Ethics - CAHS Complete]:[Ethics - Others Complete]],TRUE)&gt;0,TRUE,FALSE))</f>
        <v/>
      </c>
      <c r="FA10" s="6" t="str">
        <f>IF(COUNTA(Register[[#This Row],[Gov - PCH Complete]:[Gov - Others Complete]])=0,"",IF(COUNTIF(Register[[#This Row],[Gov - PCH Complete]:[Gov - Others Complete]],TRUE)&gt;0,TRUE,FALSE))</f>
        <v/>
      </c>
      <c r="FB10" s="6" t="str">
        <f>IF(COUNTA(Register[[#This Row],[Budget - VTG Complete]:[Budget - Pharmacy Complete]])=0,"",IF(COUNTIF(Register[[#This Row],[Budget - VTG Complete]:[Budget - Pharmacy Complete]],TRUE)=3,TRUE,FALSE))</f>
        <v/>
      </c>
      <c r="FC10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44468.903067129628</v>
      </c>
      <c r="I11" s="6" t="s">
        <v>87</v>
      </c>
      <c r="J11" s="4" t="s">
        <v>242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44468.903055555558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str">
        <f>IF(COUNTA(Register[[#This Row],[Ethics - CAHS Complete]:[Ethics - Others Complete]])=0, "",IF(COUNTIF(Register[[#This Row],[Ethics - CAHS Complete]:[Ethics - Others Complete]],TRUE)&gt;0,TRUE,FALSE))</f>
        <v/>
      </c>
      <c r="FA11" s="6" t="str">
        <f>IF(COUNTA(Register[[#This Row],[Gov - PCH Complete]:[Gov - Others Complete]])=0,"",IF(COUNTIF(Register[[#This Row],[Gov - PCH Complete]:[Gov - Others Complete]],TRUE)&gt;0,TRUE,FALSE))</f>
        <v/>
      </c>
      <c r="FB11" s="6" t="str">
        <f>IF(COUNTA(Register[[#This Row],[Budget - VTG Complete]:[Budget - Pharmacy Complete]])=0,"",IF(COUNTIF(Register[[#This Row],[Budget - VTG Complete]:[Budget - Pharmacy Complete]],TRUE)=3,TRUE,FALSE))</f>
        <v/>
      </c>
      <c r="FC11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44468.903101851851</v>
      </c>
      <c r="I12" s="6" t="s">
        <v>87</v>
      </c>
      <c r="J12" s="4" t="s">
        <v>242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44468.903090277781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243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244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15" t="b">
        <f>IF(COUNTA(Register[[#This Row],[Ethics - CAHS Complete]:[Ethics - Others Complete]])=0, "",IF(COUNTIF(Register[[#This Row],[Ethics - CAHS Complete]:[Ethics - Others Complete]],TRUE)&gt;0,TRUE,FALSE))</f>
        <v>1</v>
      </c>
      <c r="FA12" s="6" t="b">
        <f>IF(COUNTA(Register[[#This Row],[Gov - PCH Complete]:[Gov - Others Complete]])=0,"",IF(COUNTIF(Register[[#This Row],[Gov - PCH Complete]:[Gov - Others Complete]],TRUE)&gt;0,TRUE,FALSE))</f>
        <v>1</v>
      </c>
      <c r="FB12" s="6" t="b">
        <f>IF(COUNTA(Register[[#This Row],[Budget - VTG Complete]:[Budget - Pharmacy Complete]])=0,"",IF(COUNTIF(Register[[#This Row],[Budget - VTG Complete]:[Budget - Pharmacy Complete]],TRUE)=3,TRUE,FALSE))</f>
        <v>1</v>
      </c>
      <c r="FC12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12" s="15">
        <f t="array" ref="FD12">IFERROR(MATCH(FALSE,Register[[#This Row],[Study Details Complete]:[SIV Complete]],0),IFERROR(MATCH(TRUE,ISBLANK(Register[[#This Row],[Study Details Complete]:[SIV Complete]]),0),1))</f>
        <v>9</v>
      </c>
    </row>
    <row r="13" spans="4:160" x14ac:dyDescent="0.25">
      <c r="D13" s="5">
        <v>44466.823842592596</v>
      </c>
      <c r="E13" s="6" t="s">
        <v>87</v>
      </c>
      <c r="F13" s="5"/>
      <c r="G13" s="6"/>
      <c r="H13" s="5">
        <v>44471.644155092596</v>
      </c>
      <c r="I13" s="6" t="s">
        <v>87</v>
      </c>
      <c r="J13" s="4" t="s">
        <v>242</v>
      </c>
      <c r="K13" s="4">
        <v>110</v>
      </c>
      <c r="L13" s="4" t="s">
        <v>271</v>
      </c>
      <c r="M13" s="4" t="s">
        <v>272</v>
      </c>
      <c r="N13" s="4" t="s">
        <v>272</v>
      </c>
      <c r="O13" s="42" t="s">
        <v>285</v>
      </c>
      <c r="P13" s="7" t="s">
        <v>276</v>
      </c>
      <c r="Q13" s="5">
        <v>44471.644131944442</v>
      </c>
      <c r="R13" s="6" t="s">
        <v>87</v>
      </c>
      <c r="S13" s="19">
        <v>43830</v>
      </c>
      <c r="T13" s="19">
        <v>43832</v>
      </c>
      <c r="U13" s="19">
        <v>43833</v>
      </c>
      <c r="V13" s="19">
        <v>43834</v>
      </c>
      <c r="W13" s="19">
        <v>43835</v>
      </c>
      <c r="X13" s="19" t="s">
        <v>275</v>
      </c>
      <c r="Y13" s="19">
        <v>44471.574699074074</v>
      </c>
      <c r="Z13" s="19" t="s">
        <v>87</v>
      </c>
      <c r="AA13" s="19">
        <v>43862</v>
      </c>
      <c r="AB13" s="19">
        <v>43866</v>
      </c>
      <c r="AC13" s="19" t="s">
        <v>273</v>
      </c>
      <c r="AD13" s="6" t="s">
        <v>274</v>
      </c>
      <c r="AE13" s="5">
        <v>44468.832013888888</v>
      </c>
      <c r="AF13" s="6" t="s">
        <v>87</v>
      </c>
      <c r="AG13" s="19">
        <v>43891</v>
      </c>
      <c r="AH13" s="4" t="s">
        <v>86</v>
      </c>
      <c r="AI13" s="19">
        <v>43921</v>
      </c>
      <c r="AJ13" s="4" t="s">
        <v>84</v>
      </c>
      <c r="AK13" s="19">
        <v>43926</v>
      </c>
      <c r="AL13" s="6" t="s">
        <v>277</v>
      </c>
      <c r="AM13" s="5">
        <v>44468.832129629627</v>
      </c>
      <c r="AN13" s="6" t="s">
        <v>87</v>
      </c>
      <c r="AO13" s="19">
        <v>43831</v>
      </c>
      <c r="AP13" s="6" t="s">
        <v>278</v>
      </c>
      <c r="AQ13" s="5">
        <v>44468.832268518519</v>
      </c>
      <c r="AR13" s="6" t="s">
        <v>87</v>
      </c>
      <c r="AS13" s="19">
        <v>43922</v>
      </c>
      <c r="AT13" s="19">
        <v>43923</v>
      </c>
      <c r="AU13" s="19">
        <v>43925</v>
      </c>
      <c r="AV13" s="19">
        <v>43926</v>
      </c>
      <c r="AW13" s="19" t="s">
        <v>279</v>
      </c>
      <c r="AX13" s="4"/>
      <c r="AY13" s="19"/>
      <c r="AZ13" s="19"/>
      <c r="BA13" s="19"/>
      <c r="BB13" s="19"/>
      <c r="BC13" s="19"/>
      <c r="BD13" s="19"/>
      <c r="BE13" s="19"/>
      <c r="BF13" s="4"/>
      <c r="BG13" s="4"/>
      <c r="BH13" s="4" t="s">
        <v>284</v>
      </c>
      <c r="BI13" s="19">
        <v>43831</v>
      </c>
      <c r="BJ13" s="19" t="s">
        <v>108</v>
      </c>
      <c r="BK13" s="4" t="s">
        <v>280</v>
      </c>
      <c r="BL13" s="5">
        <v>44468.832754629628</v>
      </c>
      <c r="BM13" s="6" t="s">
        <v>87</v>
      </c>
      <c r="BN13" s="19">
        <v>43983</v>
      </c>
      <c r="BO13" s="19">
        <v>43987</v>
      </c>
      <c r="BP13" s="19">
        <v>43991</v>
      </c>
      <c r="BQ13" s="19" t="s">
        <v>281</v>
      </c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19">
        <v>44013</v>
      </c>
      <c r="CE13" s="4"/>
      <c r="CF13" s="4"/>
      <c r="CG13" s="4" t="s">
        <v>282</v>
      </c>
      <c r="CH13" s="4"/>
      <c r="CI13" s="4"/>
      <c r="CJ13" s="4"/>
      <c r="CK13" s="4"/>
      <c r="CL13" s="4"/>
      <c r="CM13" s="19"/>
      <c r="CN13" s="19"/>
      <c r="CO13" s="19"/>
      <c r="CP13" s="4"/>
      <c r="CQ13" s="5">
        <v>44468.833252314813</v>
      </c>
      <c r="CR13" s="6" t="s">
        <v>87</v>
      </c>
      <c r="CS13" s="19">
        <v>44013</v>
      </c>
      <c r="CT13" s="19">
        <v>44013</v>
      </c>
      <c r="CU13" s="19">
        <v>44044</v>
      </c>
      <c r="CV13" s="19" t="s">
        <v>286</v>
      </c>
      <c r="CW13" s="19"/>
      <c r="CX13" s="19"/>
      <c r="CY13" s="19"/>
      <c r="CZ13" s="19"/>
      <c r="DA13" s="19"/>
      <c r="DB13" s="5">
        <v>44468.846932870372</v>
      </c>
      <c r="DC13" s="6" t="s">
        <v>87</v>
      </c>
      <c r="DD13" s="19"/>
      <c r="DE13" s="19"/>
      <c r="DF13" s="19"/>
      <c r="DG13" s="6"/>
      <c r="DH13" s="5">
        <v>44468.462372685186</v>
      </c>
      <c r="DI13" s="6" t="s">
        <v>87</v>
      </c>
      <c r="DJ13" s="19">
        <v>43831</v>
      </c>
      <c r="DK13" s="19">
        <v>43952</v>
      </c>
      <c r="DL13" s="19">
        <v>44075</v>
      </c>
      <c r="DM13" s="19">
        <v>43831</v>
      </c>
      <c r="DN13" s="19"/>
      <c r="DO13" s="19"/>
      <c r="DP13" s="19"/>
      <c r="DQ13" s="6"/>
      <c r="DR13" s="5">
        <v>44471.604456018518</v>
      </c>
      <c r="DS13" s="6" t="s">
        <v>87</v>
      </c>
      <c r="DT13" s="19"/>
      <c r="DU13" s="6"/>
      <c r="DV13" s="5">
        <v>44468.46234953704</v>
      </c>
      <c r="DW13" s="6" t="s">
        <v>87</v>
      </c>
      <c r="DX13" s="19">
        <v>44572</v>
      </c>
      <c r="DY13" s="6" t="s">
        <v>283</v>
      </c>
      <c r="DZ13" s="5">
        <v>44468.517268518517</v>
      </c>
      <c r="EA13" s="6" t="s">
        <v>87</v>
      </c>
      <c r="EB13" s="15" t="b">
        <v>1</v>
      </c>
      <c r="EC13" s="15" t="b">
        <v>1</v>
      </c>
      <c r="ED13" s="15" t="b">
        <v>1</v>
      </c>
      <c r="EE13" s="15" t="b">
        <v>1</v>
      </c>
      <c r="EF13" s="15" t="b">
        <v>1</v>
      </c>
      <c r="EG13" s="15" t="b">
        <v>1</v>
      </c>
      <c r="EH13" s="6"/>
      <c r="EI13" s="6"/>
      <c r="EJ13" s="6"/>
      <c r="EK13" s="6" t="b">
        <v>0</v>
      </c>
      <c r="EL13" s="6" t="b">
        <v>1</v>
      </c>
      <c r="EM13" s="6"/>
      <c r="EN13" s="6"/>
      <c r="EO13" s="6"/>
      <c r="EP13" s="6" t="b">
        <v>0</v>
      </c>
      <c r="EQ13" s="6"/>
      <c r="ER13" s="6"/>
      <c r="ES13" s="6" t="b">
        <v>1</v>
      </c>
      <c r="ET13" s="6"/>
      <c r="EU13" s="6"/>
      <c r="EV13" s="6"/>
      <c r="EW13" s="6" t="b">
        <v>0</v>
      </c>
      <c r="EX13" s="6"/>
      <c r="EY13" s="6" t="b">
        <v>1</v>
      </c>
      <c r="EZ13" s="15" t="b">
        <f>IF(COUNTA(Register[[#This Row],[Ethics - CAHS Complete]:[Ethics - Others Complete]])=0, "",IF(COUNTIF(Register[[#This Row],[Ethics - CAHS Complete]:[Ethics - Others Complete]],TRUE)&gt;0,TRUE,FALSE))</f>
        <v>1</v>
      </c>
      <c r="FA13" s="6" t="b">
        <f>IF(COUNTA(Register[[#This Row],[Gov - PCH Complete]:[Gov - Others Complete]])=0,"",IF(COUNTIF(Register[[#This Row],[Gov - PCH Complete]:[Gov - Others Complete]],TRUE)&gt;0,TRUE,FALSE))</f>
        <v>1</v>
      </c>
      <c r="FB13" s="6" t="b">
        <f>IF(COUNTA(Register[[#This Row],[Budget - VTG Complete]:[Budget - Pharmacy Complete]])=0,"",IF(COUNTIF(Register[[#This Row],[Budget - VTG Complete]:[Budget - Pharmacy Complete]],TRUE)=3,TRUE,FALSE))</f>
        <v>0</v>
      </c>
      <c r="FC13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3" s="15">
        <f t="array" ref="FD13">IFERROR(MATCH(FALSE,Register[[#This Row],[Study Details Complete]:[SIV Complete]],0),IFERROR(MATCH(TRUE,ISBLANK(Register[[#This Row],[Study Details Complete]:[SIV Complete]]),0),1))</f>
        <v>10</v>
      </c>
    </row>
    <row r="14" spans="4:160" x14ac:dyDescent="0.25"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8"/>
      <c r="K15" s="18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</row>
    <row r="16" spans="4:160" x14ac:dyDescent="0.25">
      <c r="J16" s="18"/>
      <c r="K16" s="18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45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7"/>
      <c r="K17" s="17"/>
    </row>
    <row r="18" spans="10:132" x14ac:dyDescent="0.25">
      <c r="J18" s="17"/>
      <c r="K18" s="17"/>
      <c r="M18" s="43"/>
    </row>
    <row r="19" spans="10:132" x14ac:dyDescent="0.25">
      <c r="EB19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301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263</v>
      </c>
      <c r="B3" s="21"/>
      <c r="I3" s="1"/>
      <c r="AB3" s="1"/>
      <c r="AI3"/>
      <c r="AJ3"/>
    </row>
    <row r="4" spans="1:36" x14ac:dyDescent="0.25">
      <c r="A4" t="s">
        <v>264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253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247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248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242</v>
      </c>
      <c r="B9" s="36">
        <v>44452</v>
      </c>
      <c r="C9" s="26" t="s">
        <v>88</v>
      </c>
      <c r="D9" s="37">
        <v>44468.902777777781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242</v>
      </c>
      <c r="B10" s="36">
        <v>44452</v>
      </c>
      <c r="C10" s="26" t="s">
        <v>95</v>
      </c>
      <c r="D10" s="37">
        <v>44468.902777777781</v>
      </c>
      <c r="E10" s="33" t="s">
        <v>94</v>
      </c>
      <c r="F10" s="33" t="s">
        <v>96</v>
      </c>
      <c r="G10" s="33" t="s">
        <v>97</v>
      </c>
      <c r="H10" s="35" t="s">
        <v>252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242</v>
      </c>
      <c r="B11" s="36">
        <v>44452</v>
      </c>
      <c r="C11" s="26" t="s">
        <v>103</v>
      </c>
      <c r="D11" s="37">
        <v>44468.902777777781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242</v>
      </c>
      <c r="B12" s="36">
        <v>44452</v>
      </c>
      <c r="C12" s="26" t="s">
        <v>106</v>
      </c>
      <c r="D12" s="37">
        <v>44468.902777777781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242</v>
      </c>
      <c r="B13" s="36">
        <v>44452</v>
      </c>
      <c r="C13" s="26" t="s">
        <v>107</v>
      </c>
      <c r="D13" s="37">
        <v>44468.902777777781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4" t="s">
        <v>242</v>
      </c>
      <c r="B14" s="36">
        <v>44452</v>
      </c>
      <c r="C14" s="26" t="s">
        <v>111</v>
      </c>
      <c r="D14" s="37">
        <v>44468.902777777781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245</v>
      </c>
      <c r="M14" s="34" t="s">
        <v>246</v>
      </c>
      <c r="N14" s="34" t="s">
        <v>265</v>
      </c>
      <c r="O14" s="34" t="s">
        <v>250</v>
      </c>
      <c r="P14" s="34" t="s">
        <v>251</v>
      </c>
      <c r="Q14" s="26"/>
      <c r="R14" s="26"/>
      <c r="S14" s="34" t="s">
        <v>249</v>
      </c>
      <c r="T14" s="34" t="s">
        <v>254</v>
      </c>
      <c r="U14" s="34" t="s">
        <v>266</v>
      </c>
      <c r="V14" s="26"/>
      <c r="W14" s="26"/>
      <c r="X14" s="26"/>
      <c r="Y14" s="26"/>
      <c r="Z14" s="26"/>
      <c r="AA14" s="34" t="s">
        <v>258</v>
      </c>
      <c r="AB14" s="34" t="s">
        <v>267</v>
      </c>
      <c r="AC14" s="34" t="s">
        <v>255</v>
      </c>
      <c r="AD14" s="34" t="s">
        <v>256</v>
      </c>
      <c r="AE14" s="34" t="s">
        <v>287</v>
      </c>
      <c r="AF14" s="34" t="s">
        <v>268</v>
      </c>
      <c r="AG14" s="34" t="s">
        <v>269</v>
      </c>
      <c r="AH14" s="34" t="s">
        <v>270</v>
      </c>
    </row>
    <row r="15" spans="1:36" ht="105" x14ac:dyDescent="0.25">
      <c r="A15" s="35" t="s">
        <v>242</v>
      </c>
      <c r="B15" s="36">
        <v>44466</v>
      </c>
      <c r="C15" s="26" t="s">
        <v>271</v>
      </c>
      <c r="D15" s="37">
        <v>44471.643750000003</v>
      </c>
      <c r="E15" s="33">
        <v>110</v>
      </c>
      <c r="F15" s="33" t="s">
        <v>272</v>
      </c>
      <c r="G15" s="40" t="s">
        <v>272</v>
      </c>
      <c r="H15" s="27" t="s">
        <v>285</v>
      </c>
      <c r="I15" s="34" t="s">
        <v>288</v>
      </c>
      <c r="J15" s="34" t="s">
        <v>289</v>
      </c>
      <c r="K15" s="34" t="s">
        <v>290</v>
      </c>
      <c r="L15" s="34" t="s">
        <v>291</v>
      </c>
      <c r="M15" s="34" t="s">
        <v>292</v>
      </c>
      <c r="N15" s="34" t="s">
        <v>293</v>
      </c>
      <c r="O15" s="27"/>
      <c r="P15" s="27"/>
      <c r="Q15" s="26"/>
      <c r="R15" s="35" t="s">
        <v>294</v>
      </c>
      <c r="S15" s="34" t="s">
        <v>295</v>
      </c>
      <c r="T15" s="34" t="s">
        <v>296</v>
      </c>
      <c r="U15" s="27"/>
      <c r="V15" s="26"/>
      <c r="W15" s="26"/>
      <c r="X15" s="35" t="s">
        <v>297</v>
      </c>
      <c r="Y15" s="26"/>
      <c r="Z15" s="26"/>
      <c r="AA15" s="27"/>
      <c r="AB15" s="34" t="s">
        <v>298</v>
      </c>
      <c r="AC15" s="27"/>
      <c r="AD15" s="27"/>
      <c r="AE15" s="27"/>
      <c r="AF15" s="35" t="s">
        <v>300</v>
      </c>
      <c r="AG15" s="27"/>
      <c r="AH15" s="34" t="s">
        <v>299</v>
      </c>
      <c r="AI15"/>
      <c r="AJ15"/>
    </row>
    <row r="16" spans="1:36" x14ac:dyDescent="0.25">
      <c r="AI16"/>
      <c r="AJ16"/>
    </row>
    <row r="17" spans="35:36" x14ac:dyDescent="0.25"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2021-10-02T07:30:01Z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